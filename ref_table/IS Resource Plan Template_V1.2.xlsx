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onevirtualoffice.sharepoint.com/sites/EUVProgram-ISProjectInformation/Shared Documents/IS Project Information/2025 Resource Plan/"/>
    </mc:Choice>
  </mc:AlternateContent>
  <xr:revisionPtr revIDLastSave="0" documentId="8_{8892AC83-65D9-4FD2-B532-A457422FCB66}" xr6:coauthVersionLast="47" xr6:coauthVersionMax="47" xr10:uidLastSave="{00000000-0000-0000-0000-000000000000}"/>
  <bookViews>
    <workbookView xWindow="-120" yWindow="-120" windowWidth="38640" windowHeight="15720" tabRatio="945" firstSheet="13" activeTab="13" xr2:uid="{DB3363A1-8373-4A79-A9BA-D4980CF90EA9}"/>
  </bookViews>
  <sheets>
    <sheet name="How To Use" sheetId="49" r:id="rId1"/>
    <sheet name="Temp. V00" sheetId="12" r:id="rId2"/>
    <sheet name="SheetMerge" sheetId="6" r:id="rId3"/>
    <sheet name="P1_정원" sheetId="51" r:id="rId4"/>
    <sheet name="P2_부서" sheetId="52" r:id="rId5"/>
    <sheet name="P3_PRJ total gap" sheetId="53" r:id="rId6"/>
    <sheet name="P3_PRJ engineer gap" sheetId="55" r:id="rId7"/>
    <sheet name="P4_Name" sheetId="54" r:id="rId8"/>
    <sheet name="Project IO" sheetId="48" r:id="rId9"/>
    <sheet name="정원" sheetId="2" r:id="rId10"/>
    <sheet name="&gt;" sheetId="41" r:id="rId11"/>
    <sheet name="etc. V00" sheetId="22" r:id="rId12"/>
    <sheet name="Micron A&amp;D V00" sheetId="19" r:id="rId13"/>
    <sheet name="Tumalo Ph2 V00" sheetId="16" r:id="rId14"/>
    <sheet name="Gen3 7SRC TFT" sheetId="58" r:id="rId15"/>
    <sheet name="Havasu V00" sheetId="17" r:id="rId16"/>
    <sheet name="Tumalo Ph1 V00" sheetId="18" r:id="rId17"/>
    <sheet name="HRS Integrates V00" sheetId="20" r:id="rId18"/>
    <sheet name="HRS" sheetId="59" r:id="rId19"/>
    <sheet name="HRS Integrated- 9N Upgrade V00" sheetId="14" r:id="rId20"/>
    <sheet name="CatOX V00" sheetId="13" r:id="rId21"/>
    <sheet name="Kanara V00" sheetId="7" r:id="rId22"/>
    <sheet name="EUV Zenith Plus V00" sheetId="21" r:id="rId23"/>
    <sheet name="Carl Zeiss. V00_Cancel" sheetId="50" r:id="rId24"/>
    <sheet name="&lt;" sheetId="5" r:id="rId25"/>
  </sheets>
  <definedNames>
    <definedName name="_xlnm._FilterDatabase" localSheetId="23" hidden="1">'Carl Zeiss. V00_Cancel'!$A$2:$BA$2</definedName>
    <definedName name="_xlnm._FilterDatabase" localSheetId="11" hidden="1">'etc. V00'!$A$2:$BA$2</definedName>
    <definedName name="_xlnm._FilterDatabase" localSheetId="15" hidden="1">'Havasu V00'!$A$2:$BA$21</definedName>
    <definedName name="_xlnm._FilterDatabase" localSheetId="12" hidden="1">'Micron A&amp;D V00'!$A$2:$BA$2</definedName>
    <definedName name="_xlnm._FilterDatabase" localSheetId="8" hidden="1">'Project IO'!$B$3:$D$3</definedName>
    <definedName name="_xlnm._FilterDatabase" localSheetId="2" hidden="1">SheetMerge!$A$1:$AC$219</definedName>
    <definedName name="_xlnm._FilterDatabase" localSheetId="16" hidden="1">'Tumalo Ph1 V00'!$A$2:$BA$2</definedName>
    <definedName name="_xlnm._FilterDatabase" localSheetId="9" hidden="1">정원!$A$2:$AZ$55</definedName>
    <definedName name="_xlnm.Extract" localSheetId="9">정원!#REF!</definedName>
  </definedNames>
  <calcPr calcId="191028"/>
  <pivotCaches>
    <pivotCache cacheId="2074" r:id="rId26"/>
    <pivotCache cacheId="2075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9" l="1"/>
  <c r="E16" i="20" l="1"/>
  <c r="G16" i="20"/>
  <c r="F16" i="20"/>
  <c r="D16" i="20"/>
  <c r="C16" i="20" s="1"/>
  <c r="Q3" i="55"/>
  <c r="R3" i="55"/>
  <c r="S3" i="55"/>
  <c r="T3" i="55"/>
  <c r="U3" i="55"/>
  <c r="V3" i="55"/>
  <c r="W3" i="55"/>
  <c r="X3" i="55"/>
  <c r="Y3" i="55"/>
  <c r="Z3" i="55"/>
  <c r="AA3" i="55"/>
  <c r="Q4" i="55"/>
  <c r="R4" i="55"/>
  <c r="S4" i="55"/>
  <c r="T4" i="55"/>
  <c r="U4" i="55"/>
  <c r="V4" i="55"/>
  <c r="W4" i="55"/>
  <c r="X4" i="55"/>
  <c r="Y4" i="55"/>
  <c r="Z4" i="55"/>
  <c r="AA4" i="55"/>
  <c r="Q5" i="55"/>
  <c r="R5" i="55"/>
  <c r="S5" i="55"/>
  <c r="T5" i="55"/>
  <c r="U5" i="55"/>
  <c r="V5" i="55"/>
  <c r="W5" i="55"/>
  <c r="X5" i="55"/>
  <c r="Y5" i="55"/>
  <c r="Z5" i="55"/>
  <c r="AA5" i="55"/>
  <c r="Q6" i="55"/>
  <c r="R6" i="55"/>
  <c r="S6" i="55"/>
  <c r="T6" i="55"/>
  <c r="U6" i="55"/>
  <c r="V6" i="55"/>
  <c r="W6" i="55"/>
  <c r="X6" i="55"/>
  <c r="Y6" i="55"/>
  <c r="Z6" i="55"/>
  <c r="AA6" i="55"/>
  <c r="Q7" i="55"/>
  <c r="R7" i="55"/>
  <c r="S7" i="55"/>
  <c r="T7" i="55"/>
  <c r="U7" i="55"/>
  <c r="V7" i="55"/>
  <c r="W7" i="55"/>
  <c r="X7" i="55"/>
  <c r="Y7" i="55"/>
  <c r="Z7" i="55"/>
  <c r="AA7" i="55"/>
  <c r="Q8" i="55"/>
  <c r="R8" i="55"/>
  <c r="S8" i="55"/>
  <c r="T8" i="55"/>
  <c r="U8" i="55"/>
  <c r="V8" i="55"/>
  <c r="W8" i="55"/>
  <c r="X8" i="55"/>
  <c r="Y8" i="55"/>
  <c r="Z8" i="55"/>
  <c r="AA8" i="55"/>
  <c r="Q9" i="55"/>
  <c r="R9" i="55"/>
  <c r="S9" i="55"/>
  <c r="T9" i="55"/>
  <c r="U9" i="55"/>
  <c r="V9" i="55"/>
  <c r="W9" i="55"/>
  <c r="X9" i="55"/>
  <c r="Y9" i="55"/>
  <c r="Z9" i="55"/>
  <c r="AA9" i="55"/>
  <c r="Q10" i="55"/>
  <c r="R10" i="55"/>
  <c r="S10" i="55"/>
  <c r="T10" i="55"/>
  <c r="U10" i="55"/>
  <c r="V10" i="55"/>
  <c r="W10" i="55"/>
  <c r="X10" i="55"/>
  <c r="Y10" i="55"/>
  <c r="Z10" i="55"/>
  <c r="AA10" i="55"/>
  <c r="Q11" i="55"/>
  <c r="R11" i="55"/>
  <c r="S11" i="55"/>
  <c r="T11" i="55"/>
  <c r="U11" i="55"/>
  <c r="V11" i="55"/>
  <c r="W11" i="55"/>
  <c r="X11" i="55"/>
  <c r="Y11" i="55"/>
  <c r="Z11" i="55"/>
  <c r="AA11" i="55"/>
  <c r="R2" i="55"/>
  <c r="S2" i="55"/>
  <c r="T2" i="55"/>
  <c r="U2" i="55"/>
  <c r="V2" i="55"/>
  <c r="W2" i="55"/>
  <c r="X2" i="55"/>
  <c r="Y2" i="55"/>
  <c r="Z2" i="55"/>
  <c r="AA2" i="55"/>
  <c r="T1" i="55"/>
  <c r="U1" i="55"/>
  <c r="V1" i="55"/>
  <c r="W1" i="55"/>
  <c r="X1" i="55"/>
  <c r="Y1" i="55"/>
  <c r="Z1" i="55"/>
  <c r="AA1" i="55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G4" i="22"/>
  <c r="F4" i="22"/>
  <c r="E4" i="22"/>
  <c r="C4" i="22"/>
  <c r="B4" i="22"/>
  <c r="B16" i="20" l="1"/>
  <c r="C3" i="51"/>
  <c r="D3" i="51"/>
  <c r="E3" i="51"/>
  <c r="F3" i="51"/>
  <c r="G3" i="51"/>
  <c r="H3" i="51"/>
  <c r="I3" i="51"/>
  <c r="J3" i="51"/>
  <c r="K3" i="51"/>
  <c r="L3" i="51"/>
  <c r="M3" i="51"/>
  <c r="N3" i="51"/>
  <c r="O3" i="51"/>
  <c r="P3" i="51"/>
  <c r="Q3" i="51"/>
  <c r="R3" i="51"/>
  <c r="S3" i="51"/>
  <c r="T3" i="51"/>
  <c r="U3" i="51"/>
  <c r="V3" i="51"/>
  <c r="W3" i="51"/>
  <c r="X3" i="51"/>
  <c r="Y3" i="51"/>
  <c r="Z3" i="51"/>
  <c r="AA3" i="51"/>
  <c r="B3" i="51"/>
  <c r="C4" i="51"/>
  <c r="C17" i="51" s="1"/>
  <c r="D4" i="51"/>
  <c r="D17" i="51" s="1"/>
  <c r="E4" i="51"/>
  <c r="E17" i="51" s="1"/>
  <c r="F4" i="51"/>
  <c r="F17" i="51" s="1"/>
  <c r="G4" i="51"/>
  <c r="G17" i="51" s="1"/>
  <c r="H4" i="51"/>
  <c r="H17" i="51" s="1"/>
  <c r="I4" i="51"/>
  <c r="I17" i="51" s="1"/>
  <c r="J4" i="51"/>
  <c r="J17" i="51" s="1"/>
  <c r="K4" i="51"/>
  <c r="K17" i="51" s="1"/>
  <c r="L4" i="51"/>
  <c r="L17" i="51" s="1"/>
  <c r="M4" i="51"/>
  <c r="M17" i="51" s="1"/>
  <c r="N4" i="51"/>
  <c r="N17" i="51" s="1"/>
  <c r="O4" i="51"/>
  <c r="O17" i="51" s="1"/>
  <c r="P4" i="51"/>
  <c r="P17" i="51" s="1"/>
  <c r="Q4" i="51"/>
  <c r="Q17" i="51" s="1"/>
  <c r="R4" i="51"/>
  <c r="R17" i="51" s="1"/>
  <c r="S4" i="51"/>
  <c r="S17" i="51" s="1"/>
  <c r="T4" i="51"/>
  <c r="T17" i="51" s="1"/>
  <c r="U4" i="51"/>
  <c r="U17" i="51" s="1"/>
  <c r="V4" i="51"/>
  <c r="V17" i="51" s="1"/>
  <c r="W4" i="51"/>
  <c r="W17" i="51" s="1"/>
  <c r="X4" i="51"/>
  <c r="X17" i="51" s="1"/>
  <c r="Y4" i="51"/>
  <c r="Y17" i="51" s="1"/>
  <c r="Z4" i="51"/>
  <c r="Z17" i="51" s="1"/>
  <c r="B4" i="51"/>
  <c r="B17" i="51" s="1"/>
  <c r="AA4" i="51"/>
  <c r="AA17" i="51" s="1"/>
  <c r="C2" i="51"/>
  <c r="D2" i="51"/>
  <c r="E2" i="51"/>
  <c r="F2" i="51"/>
  <c r="G2" i="51"/>
  <c r="H2" i="51"/>
  <c r="I2" i="51"/>
  <c r="J2" i="51"/>
  <c r="K2" i="51"/>
  <c r="L2" i="51"/>
  <c r="M2" i="51"/>
  <c r="N2" i="51"/>
  <c r="O2" i="51"/>
  <c r="P2" i="51"/>
  <c r="Q2" i="51"/>
  <c r="Q16" i="51" s="1"/>
  <c r="R2" i="51"/>
  <c r="S2" i="51"/>
  <c r="T2" i="51"/>
  <c r="U2" i="51"/>
  <c r="V2" i="51"/>
  <c r="W2" i="51"/>
  <c r="X2" i="51"/>
  <c r="Y2" i="51"/>
  <c r="Z2" i="51"/>
  <c r="AA2" i="51"/>
  <c r="B2" i="51"/>
  <c r="B1" i="51" a="1"/>
  <c r="B1" i="51" s="1"/>
  <c r="G11" i="59"/>
  <c r="E11" i="59"/>
  <c r="D11" i="59"/>
  <c r="C11" i="59"/>
  <c r="B11" i="59"/>
  <c r="G13" i="59"/>
  <c r="F13" i="59"/>
  <c r="E13" i="59"/>
  <c r="D13" i="59"/>
  <c r="C13" i="59" s="1"/>
  <c r="H15" i="51"/>
  <c r="T15" i="51"/>
  <c r="U15" i="51"/>
  <c r="J15" i="51"/>
  <c r="V15" i="51"/>
  <c r="K15" i="51"/>
  <c r="W15" i="51"/>
  <c r="L15" i="51"/>
  <c r="M15" i="51"/>
  <c r="Y15" i="51"/>
  <c r="N15" i="51"/>
  <c r="Z15" i="51"/>
  <c r="C15" i="51"/>
  <c r="O15" i="51"/>
  <c r="AA15" i="51"/>
  <c r="P15" i="51"/>
  <c r="E15" i="51"/>
  <c r="G15" i="51"/>
  <c r="I15" i="51"/>
  <c r="D15" i="51"/>
  <c r="R15" i="51"/>
  <c r="X15" i="51"/>
  <c r="Q15" i="51"/>
  <c r="F15" i="51"/>
  <c r="S15" i="51"/>
  <c r="B15" i="51"/>
  <c r="P5" i="51" l="1"/>
  <c r="V16" i="51"/>
  <c r="V18" i="51" s="1"/>
  <c r="J16" i="51"/>
  <c r="J18" i="51" s="1"/>
  <c r="O5" i="51"/>
  <c r="Z5" i="51"/>
  <c r="M5" i="51"/>
  <c r="Y5" i="51"/>
  <c r="AA16" i="51"/>
  <c r="AA18" i="51" s="1"/>
  <c r="N5" i="51"/>
  <c r="E16" i="51"/>
  <c r="E18" i="51" s="1"/>
  <c r="H16" i="51"/>
  <c r="H18" i="51" s="1"/>
  <c r="S16" i="51"/>
  <c r="S18" i="51" s="1"/>
  <c r="T16" i="51"/>
  <c r="T18" i="51" s="1"/>
  <c r="B5" i="51"/>
  <c r="C5" i="51"/>
  <c r="D5" i="51"/>
  <c r="X5" i="51"/>
  <c r="L5" i="51"/>
  <c r="W16" i="51"/>
  <c r="W18" i="51" s="1"/>
  <c r="K16" i="51"/>
  <c r="K18" i="51" s="1"/>
  <c r="Q5" i="51"/>
  <c r="U5" i="51"/>
  <c r="I5" i="51"/>
  <c r="K5" i="51"/>
  <c r="E5" i="51"/>
  <c r="R5" i="51"/>
  <c r="F5" i="51"/>
  <c r="G16" i="51"/>
  <c r="G18" i="51" s="1"/>
  <c r="H5" i="51"/>
  <c r="S5" i="51"/>
  <c r="G5" i="51"/>
  <c r="T5" i="51"/>
  <c r="R16" i="51"/>
  <c r="R18" i="51" s="1"/>
  <c r="F16" i="51"/>
  <c r="F18" i="51" s="1"/>
  <c r="AA5" i="51"/>
  <c r="O16" i="51"/>
  <c r="O18" i="51" s="1"/>
  <c r="C16" i="51"/>
  <c r="C18" i="51" s="1"/>
  <c r="V5" i="51"/>
  <c r="J5" i="51"/>
  <c r="W5" i="51"/>
  <c r="Q18" i="51"/>
  <c r="P16" i="51"/>
  <c r="P18" i="51" s="1"/>
  <c r="D16" i="51"/>
  <c r="D18" i="51" s="1"/>
  <c r="I16" i="51"/>
  <c r="I18" i="51" s="1"/>
  <c r="U16" i="51"/>
  <c r="U18" i="51" s="1"/>
  <c r="Z16" i="51"/>
  <c r="Z18" i="51" s="1"/>
  <c r="N16" i="51"/>
  <c r="N18" i="51" s="1"/>
  <c r="Y16" i="51"/>
  <c r="Y18" i="51" s="1"/>
  <c r="M16" i="51"/>
  <c r="M18" i="51" s="1"/>
  <c r="X16" i="51"/>
  <c r="X18" i="51" s="1"/>
  <c r="L16" i="51"/>
  <c r="L18" i="51" s="1"/>
  <c r="B16" i="51"/>
  <c r="B18" i="51" s="1"/>
  <c r="B13" i="59"/>
  <c r="R1" i="17" l="1"/>
  <c r="S1" i="17"/>
  <c r="B24" i="19"/>
  <c r="C24" i="19"/>
  <c r="D24" i="19"/>
  <c r="E24" i="19"/>
  <c r="F24" i="19"/>
  <c r="G24" i="19"/>
  <c r="D23" i="19"/>
  <c r="C23" i="19" s="1"/>
  <c r="E23" i="19"/>
  <c r="F23" i="19"/>
  <c r="G23" i="19"/>
  <c r="E23" i="59"/>
  <c r="F23" i="59"/>
  <c r="G23" i="59"/>
  <c r="E24" i="59"/>
  <c r="F24" i="59"/>
  <c r="G24" i="59"/>
  <c r="E25" i="59"/>
  <c r="F25" i="59"/>
  <c r="G25" i="59"/>
  <c r="E22" i="59"/>
  <c r="F22" i="59"/>
  <c r="G22" i="59"/>
  <c r="R32" i="59"/>
  <c r="R31" i="59"/>
  <c r="R30" i="59"/>
  <c r="B3" i="53"/>
  <c r="B2" i="53" s="1"/>
  <c r="D12" i="20"/>
  <c r="B12" i="20" s="1"/>
  <c r="E12" i="20"/>
  <c r="F12" i="20"/>
  <c r="G12" i="20"/>
  <c r="X1" i="13"/>
  <c r="C2" i="52"/>
  <c r="D2" i="52"/>
  <c r="E2" i="52"/>
  <c r="F2" i="52"/>
  <c r="G2" i="52"/>
  <c r="H2" i="52"/>
  <c r="I2" i="52"/>
  <c r="J2" i="52"/>
  <c r="K2" i="52"/>
  <c r="L2" i="52"/>
  <c r="M2" i="52"/>
  <c r="N2" i="52"/>
  <c r="O2" i="52"/>
  <c r="P2" i="52"/>
  <c r="Q2" i="52"/>
  <c r="R2" i="52"/>
  <c r="S2" i="52"/>
  <c r="T2" i="52"/>
  <c r="U2" i="52"/>
  <c r="V2" i="52"/>
  <c r="C3" i="52"/>
  <c r="D3" i="52"/>
  <c r="E3" i="52"/>
  <c r="F3" i="52"/>
  <c r="G3" i="52"/>
  <c r="H3" i="52"/>
  <c r="I3" i="52"/>
  <c r="J3" i="52"/>
  <c r="K3" i="52"/>
  <c r="L3" i="52"/>
  <c r="M3" i="52"/>
  <c r="N3" i="52"/>
  <c r="O3" i="52"/>
  <c r="P3" i="52"/>
  <c r="Q3" i="52"/>
  <c r="R3" i="52"/>
  <c r="S3" i="52"/>
  <c r="T3" i="52"/>
  <c r="U3" i="52"/>
  <c r="V3" i="52"/>
  <c r="C4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C5" i="52"/>
  <c r="D5" i="52"/>
  <c r="E5" i="52"/>
  <c r="F5" i="52"/>
  <c r="G5" i="52"/>
  <c r="H5" i="52"/>
  <c r="I5" i="52"/>
  <c r="J5" i="52"/>
  <c r="K5" i="52"/>
  <c r="L5" i="52"/>
  <c r="M5" i="52"/>
  <c r="N5" i="52"/>
  <c r="O5" i="52"/>
  <c r="P5" i="52"/>
  <c r="Q5" i="52"/>
  <c r="R5" i="52"/>
  <c r="S5" i="52"/>
  <c r="T5" i="52"/>
  <c r="U5" i="52"/>
  <c r="V5" i="52"/>
  <c r="C6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B6" i="52"/>
  <c r="B4" i="52"/>
  <c r="B5" i="52"/>
  <c r="B3" i="52"/>
  <c r="U1" i="52"/>
  <c r="V1" i="52"/>
  <c r="B2" i="52"/>
  <c r="G1" i="55"/>
  <c r="H1" i="55"/>
  <c r="I1" i="55"/>
  <c r="J1" i="55"/>
  <c r="K1" i="55"/>
  <c r="L1" i="55"/>
  <c r="M1" i="55"/>
  <c r="N1" i="55"/>
  <c r="O1" i="55"/>
  <c r="P1" i="55"/>
  <c r="Q1" i="55"/>
  <c r="R1" i="55"/>
  <c r="S1" i="55"/>
  <c r="F1" i="55"/>
  <c r="E1" i="55"/>
  <c r="D1" i="55"/>
  <c r="C1" i="55"/>
  <c r="C2" i="55"/>
  <c r="D2" i="55"/>
  <c r="E2" i="55"/>
  <c r="F2" i="55"/>
  <c r="G2" i="55"/>
  <c r="H2" i="55"/>
  <c r="I2" i="55"/>
  <c r="J2" i="55"/>
  <c r="K2" i="55"/>
  <c r="L2" i="55"/>
  <c r="M2" i="55"/>
  <c r="N2" i="55"/>
  <c r="O2" i="55"/>
  <c r="P2" i="55"/>
  <c r="Q2" i="55"/>
  <c r="C3" i="55"/>
  <c r="D3" i="55"/>
  <c r="E3" i="55"/>
  <c r="F3" i="55"/>
  <c r="G3" i="55"/>
  <c r="H3" i="55"/>
  <c r="I3" i="55"/>
  <c r="J3" i="55"/>
  <c r="K3" i="55"/>
  <c r="L3" i="55"/>
  <c r="M3" i="55"/>
  <c r="N3" i="55"/>
  <c r="O3" i="55"/>
  <c r="P3" i="55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C5" i="55"/>
  <c r="D5" i="55"/>
  <c r="E5" i="55"/>
  <c r="F5" i="55"/>
  <c r="G5" i="55"/>
  <c r="H5" i="55"/>
  <c r="I5" i="55"/>
  <c r="J5" i="55"/>
  <c r="K5" i="55"/>
  <c r="L5" i="55"/>
  <c r="M5" i="55"/>
  <c r="N5" i="55"/>
  <c r="O5" i="55"/>
  <c r="P5" i="55"/>
  <c r="C6" i="55"/>
  <c r="D6" i="55"/>
  <c r="E6" i="55"/>
  <c r="F6" i="55"/>
  <c r="G6" i="55"/>
  <c r="H6" i="55"/>
  <c r="I6" i="55"/>
  <c r="J6" i="55"/>
  <c r="K6" i="55"/>
  <c r="L6" i="55"/>
  <c r="M6" i="55"/>
  <c r="N6" i="55"/>
  <c r="O6" i="55"/>
  <c r="P6" i="55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C8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C9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C10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B3" i="55"/>
  <c r="B4" i="55"/>
  <c r="B5" i="55"/>
  <c r="B6" i="55"/>
  <c r="B7" i="55"/>
  <c r="B8" i="55"/>
  <c r="B9" i="55"/>
  <c r="B10" i="55"/>
  <c r="B11" i="55"/>
  <c r="B2" i="55"/>
  <c r="A3" i="55"/>
  <c r="A4" i="55"/>
  <c r="A5" i="55"/>
  <c r="A6" i="55"/>
  <c r="A7" i="55"/>
  <c r="A8" i="55"/>
  <c r="A9" i="55"/>
  <c r="A10" i="55"/>
  <c r="A11" i="55"/>
  <c r="A2" i="55"/>
  <c r="B1" i="55"/>
  <c r="U3" i="53"/>
  <c r="U2" i="53" s="1"/>
  <c r="V3" i="53"/>
  <c r="V2" i="53" s="1"/>
  <c r="U1" i="53"/>
  <c r="V1" i="53"/>
  <c r="D15" i="59"/>
  <c r="B15" i="59" s="1"/>
  <c r="E15" i="59"/>
  <c r="F15" i="59"/>
  <c r="G15" i="59"/>
  <c r="D10" i="59"/>
  <c r="C10" i="59" s="1"/>
  <c r="E10" i="59"/>
  <c r="F10" i="59"/>
  <c r="G10" i="59"/>
  <c r="B1" i="59"/>
  <c r="K1" i="59"/>
  <c r="L1" i="59"/>
  <c r="M1" i="59"/>
  <c r="N1" i="59"/>
  <c r="O1" i="59"/>
  <c r="P1" i="59"/>
  <c r="Q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G1" i="59"/>
  <c r="AH1" i="59"/>
  <c r="AI1" i="59"/>
  <c r="AJ1" i="59"/>
  <c r="AK1" i="59"/>
  <c r="AL1" i="59"/>
  <c r="AM1" i="59"/>
  <c r="AN1" i="59"/>
  <c r="AO1" i="59"/>
  <c r="AP1" i="59"/>
  <c r="AQ1" i="59"/>
  <c r="AR1" i="59"/>
  <c r="AS1" i="59"/>
  <c r="AT1" i="59"/>
  <c r="AU1" i="59"/>
  <c r="AV1" i="59"/>
  <c r="AW1" i="59"/>
  <c r="AX1" i="59"/>
  <c r="AY1" i="59"/>
  <c r="AZ1" i="59"/>
  <c r="BA1" i="59"/>
  <c r="D3" i="59"/>
  <c r="B3" i="59" s="1"/>
  <c r="E3" i="59"/>
  <c r="F3" i="59"/>
  <c r="G3" i="59"/>
  <c r="D4" i="59"/>
  <c r="B4" i="59" s="1"/>
  <c r="E4" i="59"/>
  <c r="F4" i="59"/>
  <c r="G4" i="59"/>
  <c r="D5" i="59"/>
  <c r="B5" i="59" s="1"/>
  <c r="E5" i="59"/>
  <c r="F5" i="59"/>
  <c r="G5" i="59"/>
  <c r="D6" i="59"/>
  <c r="B6" i="59" s="1"/>
  <c r="E6" i="59"/>
  <c r="F6" i="59"/>
  <c r="G6" i="59"/>
  <c r="D7" i="59"/>
  <c r="B7" i="59" s="1"/>
  <c r="E7" i="59"/>
  <c r="F7" i="59"/>
  <c r="G7" i="59"/>
  <c r="D8" i="59"/>
  <c r="B8" i="59" s="1"/>
  <c r="E8" i="59"/>
  <c r="F8" i="59"/>
  <c r="G8" i="59"/>
  <c r="D9" i="59"/>
  <c r="B9" i="59" s="1"/>
  <c r="E9" i="59"/>
  <c r="F9" i="59"/>
  <c r="G9" i="59"/>
  <c r="D12" i="59"/>
  <c r="B12" i="59" s="1"/>
  <c r="E12" i="59"/>
  <c r="F12" i="59"/>
  <c r="G12" i="59"/>
  <c r="D14" i="59"/>
  <c r="B14" i="59" s="1"/>
  <c r="E14" i="59"/>
  <c r="F14" i="59"/>
  <c r="G14" i="59"/>
  <c r="D16" i="59"/>
  <c r="B16" i="59" s="1"/>
  <c r="E16" i="59"/>
  <c r="F16" i="59"/>
  <c r="G16" i="59"/>
  <c r="D17" i="59"/>
  <c r="B17" i="59" s="1"/>
  <c r="E17" i="59"/>
  <c r="F17" i="59"/>
  <c r="G17" i="59"/>
  <c r="D18" i="59"/>
  <c r="B18" i="59" s="1"/>
  <c r="E18" i="59"/>
  <c r="F18" i="59"/>
  <c r="G18" i="59"/>
  <c r="D19" i="59"/>
  <c r="B19" i="59" s="1"/>
  <c r="E19" i="59"/>
  <c r="F19" i="59"/>
  <c r="G19" i="59"/>
  <c r="D20" i="59"/>
  <c r="B20" i="59" s="1"/>
  <c r="E20" i="59"/>
  <c r="F20" i="59"/>
  <c r="G20" i="59"/>
  <c r="D21" i="59"/>
  <c r="B21" i="59" s="1"/>
  <c r="E21" i="59"/>
  <c r="F21" i="59"/>
  <c r="G21" i="59"/>
  <c r="D22" i="59"/>
  <c r="B22" i="59" s="1"/>
  <c r="D23" i="59"/>
  <c r="B23" i="59" s="1"/>
  <c r="D24" i="59"/>
  <c r="B24" i="59" s="1"/>
  <c r="D25" i="59"/>
  <c r="B25" i="59" s="1"/>
  <c r="G10" i="22"/>
  <c r="F10" i="22"/>
  <c r="E10" i="22"/>
  <c r="C10" i="22"/>
  <c r="B10" i="22"/>
  <c r="C12" i="20" l="1"/>
  <c r="B23" i="19"/>
  <c r="C15" i="59"/>
  <c r="B10" i="59"/>
  <c r="C24" i="59"/>
  <c r="C22" i="59"/>
  <c r="C20" i="59"/>
  <c r="C18" i="59"/>
  <c r="C16" i="59"/>
  <c r="C12" i="59"/>
  <c r="C8" i="59"/>
  <c r="C6" i="59"/>
  <c r="C4" i="59"/>
  <c r="C3" i="59"/>
  <c r="C25" i="59"/>
  <c r="C23" i="59"/>
  <c r="C21" i="59"/>
  <c r="C19" i="59"/>
  <c r="C17" i="59"/>
  <c r="C14" i="59"/>
  <c r="C9" i="59"/>
  <c r="C7" i="59"/>
  <c r="C5" i="59"/>
  <c r="G8" i="58"/>
  <c r="F8" i="58"/>
  <c r="E8" i="58"/>
  <c r="D8" i="58"/>
  <c r="C8" i="58"/>
  <c r="B8" i="58"/>
  <c r="D10" i="20"/>
  <c r="B10" i="20" s="1"/>
  <c r="E10" i="20"/>
  <c r="F10" i="20"/>
  <c r="G10" i="20"/>
  <c r="D11" i="20"/>
  <c r="C11" i="20" s="1"/>
  <c r="E11" i="20"/>
  <c r="F11" i="20"/>
  <c r="G11" i="20"/>
  <c r="D13" i="20"/>
  <c r="B13" i="20" s="1"/>
  <c r="E13" i="20"/>
  <c r="F13" i="20"/>
  <c r="G13" i="20"/>
  <c r="D14" i="20"/>
  <c r="C14" i="20" s="1"/>
  <c r="E14" i="20"/>
  <c r="F14" i="20"/>
  <c r="G14" i="20"/>
  <c r="D15" i="20"/>
  <c r="B15" i="20" s="1"/>
  <c r="E15" i="20"/>
  <c r="F15" i="20"/>
  <c r="G15" i="20"/>
  <c r="Y1" i="18"/>
  <c r="E15" i="22"/>
  <c r="F15" i="22"/>
  <c r="G15" i="22"/>
  <c r="E16" i="22"/>
  <c r="F16" i="22"/>
  <c r="G16" i="22"/>
  <c r="E17" i="22"/>
  <c r="F17" i="22"/>
  <c r="G17" i="22"/>
  <c r="B16" i="22"/>
  <c r="C16" i="22"/>
  <c r="B17" i="22"/>
  <c r="C17" i="22"/>
  <c r="B15" i="22"/>
  <c r="C15" i="22"/>
  <c r="B11" i="20" l="1"/>
  <c r="B14" i="20"/>
  <c r="C15" i="20"/>
  <c r="C13" i="20"/>
  <c r="C10" i="20"/>
  <c r="G9" i="20"/>
  <c r="F9" i="20"/>
  <c r="E9" i="20"/>
  <c r="D9" i="20"/>
  <c r="B9" i="20" s="1"/>
  <c r="D8" i="20"/>
  <c r="B8" i="20" s="1"/>
  <c r="E8" i="20"/>
  <c r="F8" i="20"/>
  <c r="G8" i="20"/>
  <c r="C9" i="20" l="1"/>
  <c r="C8" i="20"/>
  <c r="J29" i="16"/>
  <c r="G29" i="16"/>
  <c r="F29" i="16"/>
  <c r="E29" i="16"/>
  <c r="D29" i="16"/>
  <c r="C29" i="16"/>
  <c r="B29" i="16"/>
  <c r="J33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" i="18"/>
  <c r="J4" i="18"/>
  <c r="J5" i="18"/>
  <c r="J6" i="18"/>
  <c r="J7" i="18"/>
  <c r="J8" i="18"/>
  <c r="J9" i="18"/>
  <c r="J10" i="18"/>
  <c r="J11" i="18"/>
  <c r="J12" i="18"/>
  <c r="C3" i="53" l="1"/>
  <c r="C2" i="53" s="1"/>
  <c r="D3" i="53"/>
  <c r="D2" i="53" s="1"/>
  <c r="E3" i="53"/>
  <c r="E2" i="53" s="1"/>
  <c r="F3" i="53"/>
  <c r="F2" i="53" s="1"/>
  <c r="G3" i="53"/>
  <c r="G2" i="53" s="1"/>
  <c r="H3" i="53"/>
  <c r="H2" i="53" s="1"/>
  <c r="I3" i="53"/>
  <c r="I2" i="53" s="1"/>
  <c r="J3" i="53"/>
  <c r="J2" i="53" s="1"/>
  <c r="K3" i="53"/>
  <c r="K2" i="53" s="1"/>
  <c r="L3" i="53"/>
  <c r="L2" i="53" s="1"/>
  <c r="M3" i="53"/>
  <c r="M2" i="53" s="1"/>
  <c r="N3" i="53"/>
  <c r="N2" i="53" s="1"/>
  <c r="O3" i="53"/>
  <c r="O2" i="53" s="1"/>
  <c r="P3" i="53"/>
  <c r="P2" i="53" s="1"/>
  <c r="Q3" i="53"/>
  <c r="Q2" i="53" s="1"/>
  <c r="R3" i="53"/>
  <c r="R2" i="53" s="1"/>
  <c r="S3" i="53"/>
  <c r="S2" i="53" s="1"/>
  <c r="T3" i="53"/>
  <c r="T2" i="53" s="1"/>
  <c r="C1" i="53"/>
  <c r="D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B1" i="53"/>
  <c r="A3" i="52"/>
  <c r="A4" i="52"/>
  <c r="A5" i="52"/>
  <c r="A6" i="52"/>
  <c r="E17" i="50"/>
  <c r="F17" i="50"/>
  <c r="G17" i="50"/>
  <c r="E4" i="58"/>
  <c r="F4" i="58"/>
  <c r="G4" i="58"/>
  <c r="E5" i="58"/>
  <c r="F5" i="58"/>
  <c r="G5" i="58"/>
  <c r="E6" i="58"/>
  <c r="F6" i="58"/>
  <c r="G6" i="58"/>
  <c r="E7" i="58"/>
  <c r="F7" i="58"/>
  <c r="G7" i="58"/>
  <c r="E9" i="58"/>
  <c r="F9" i="58"/>
  <c r="G9" i="58"/>
  <c r="E10" i="58"/>
  <c r="F10" i="58"/>
  <c r="G10" i="58"/>
  <c r="E11" i="58"/>
  <c r="F11" i="58"/>
  <c r="G11" i="58"/>
  <c r="E12" i="58"/>
  <c r="F12" i="58"/>
  <c r="G12" i="58"/>
  <c r="E13" i="58"/>
  <c r="F13" i="58"/>
  <c r="G13" i="58"/>
  <c r="E14" i="58"/>
  <c r="F14" i="58"/>
  <c r="G14" i="58"/>
  <c r="E15" i="58"/>
  <c r="F15" i="58"/>
  <c r="G15" i="58"/>
  <c r="E16" i="58"/>
  <c r="F16" i="58"/>
  <c r="G16" i="58"/>
  <c r="E17" i="58"/>
  <c r="F17" i="58"/>
  <c r="G17" i="58"/>
  <c r="E18" i="58"/>
  <c r="F18" i="58"/>
  <c r="G18" i="58"/>
  <c r="E19" i="58"/>
  <c r="F19" i="58"/>
  <c r="G19" i="58"/>
  <c r="G3" i="58"/>
  <c r="F3" i="58"/>
  <c r="E3" i="58"/>
  <c r="D3" i="58"/>
  <c r="D4" i="58"/>
  <c r="D5" i="58"/>
  <c r="D6" i="58"/>
  <c r="D7" i="58"/>
  <c r="D9" i="58"/>
  <c r="D10" i="58"/>
  <c r="D11" i="58"/>
  <c r="D12" i="58"/>
  <c r="D13" i="58"/>
  <c r="D14" i="58"/>
  <c r="D15" i="58"/>
  <c r="D16" i="58"/>
  <c r="D17" i="58"/>
  <c r="D18" i="58"/>
  <c r="D19" i="58"/>
  <c r="O1" i="58"/>
  <c r="P1" i="58"/>
  <c r="Q1" i="58"/>
  <c r="R1" i="58"/>
  <c r="S1" i="58"/>
  <c r="N1" i="58"/>
  <c r="D12" i="18"/>
  <c r="B12" i="18" s="1"/>
  <c r="E12" i="18"/>
  <c r="F12" i="18"/>
  <c r="G12" i="18"/>
  <c r="D14" i="16"/>
  <c r="B14" i="16" s="1"/>
  <c r="E14" i="16"/>
  <c r="F14" i="16"/>
  <c r="G14" i="16"/>
  <c r="J14" i="16"/>
  <c r="J13" i="16"/>
  <c r="G13" i="16"/>
  <c r="F13" i="16"/>
  <c r="E13" i="16"/>
  <c r="D13" i="16"/>
  <c r="C13" i="16" s="1"/>
  <c r="D10" i="16"/>
  <c r="E10" i="16"/>
  <c r="F10" i="16"/>
  <c r="G10" i="16"/>
  <c r="D11" i="16"/>
  <c r="B11" i="16" s="1"/>
  <c r="E11" i="16"/>
  <c r="F11" i="16"/>
  <c r="G11" i="16"/>
  <c r="J11" i="16"/>
  <c r="J10" i="16"/>
  <c r="D7" i="16"/>
  <c r="B7" i="16" s="1"/>
  <c r="E7" i="16"/>
  <c r="F7" i="16"/>
  <c r="G7" i="16"/>
  <c r="J7" i="16"/>
  <c r="F13" i="18"/>
  <c r="G11" i="22"/>
  <c r="B9" i="22"/>
  <c r="C9" i="22"/>
  <c r="E9" i="22"/>
  <c r="F9" i="22"/>
  <c r="G9" i="22"/>
  <c r="BA1" i="22"/>
  <c r="AZ1" i="22"/>
  <c r="AY1" i="22"/>
  <c r="AX1" i="22"/>
  <c r="AW1" i="22"/>
  <c r="AV1" i="22"/>
  <c r="AU1" i="22"/>
  <c r="AT1" i="22"/>
  <c r="AS1" i="22"/>
  <c r="AR1" i="22"/>
  <c r="AQ1" i="22"/>
  <c r="AP1" i="22"/>
  <c r="AO1" i="22"/>
  <c r="AN1" i="22"/>
  <c r="AM1" i="22"/>
  <c r="AL1" i="22"/>
  <c r="AK1" i="22"/>
  <c r="AJ1" i="22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G14" i="22"/>
  <c r="F14" i="22"/>
  <c r="B14" i="22"/>
  <c r="C14" i="22"/>
  <c r="E14" i="22"/>
  <c r="B10" i="16" l="1"/>
  <c r="C10" i="16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7" i="58"/>
  <c r="B7" i="58"/>
  <c r="C6" i="58"/>
  <c r="B6" i="58"/>
  <c r="C5" i="58"/>
  <c r="B5" i="58"/>
  <c r="C4" i="58"/>
  <c r="B4" i="58"/>
  <c r="C3" i="58"/>
  <c r="B3" i="58"/>
  <c r="C12" i="18"/>
  <c r="C14" i="16"/>
  <c r="B13" i="16"/>
  <c r="C11" i="16"/>
  <c r="C7" i="16"/>
  <c r="BA1" i="58"/>
  <c r="AZ1" i="58"/>
  <c r="AY1" i="58"/>
  <c r="AX1" i="58"/>
  <c r="AW1" i="58"/>
  <c r="AV1" i="58"/>
  <c r="AU1" i="58"/>
  <c r="AT1" i="58"/>
  <c r="AS1" i="58"/>
  <c r="AR1" i="58"/>
  <c r="AQ1" i="58"/>
  <c r="AP1" i="58"/>
  <c r="AO1" i="58"/>
  <c r="AN1" i="58"/>
  <c r="AM1" i="58"/>
  <c r="AL1" i="58"/>
  <c r="AK1" i="58"/>
  <c r="AJ1" i="58"/>
  <c r="AI1" i="58"/>
  <c r="AH1" i="58"/>
  <c r="AG1" i="58"/>
  <c r="AF1" i="58"/>
  <c r="AE1" i="58"/>
  <c r="AD1" i="58"/>
  <c r="AC1" i="58"/>
  <c r="AB1" i="58"/>
  <c r="AA1" i="58"/>
  <c r="Z1" i="58"/>
  <c r="Y1" i="58"/>
  <c r="X1" i="58"/>
  <c r="W1" i="58"/>
  <c r="V1" i="58"/>
  <c r="M1" i="58"/>
  <c r="L1" i="58"/>
  <c r="K1" i="58"/>
  <c r="B1" i="58"/>
  <c r="J22" i="16"/>
  <c r="G22" i="16"/>
  <c r="F22" i="16"/>
  <c r="E22" i="16"/>
  <c r="D22" i="16"/>
  <c r="C22" i="16" s="1"/>
  <c r="K1" i="7"/>
  <c r="L1" i="7"/>
  <c r="M1" i="7"/>
  <c r="N1" i="7"/>
  <c r="O1" i="7"/>
  <c r="P1" i="7"/>
  <c r="Q1" i="7"/>
  <c r="R1" i="7"/>
  <c r="S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T1" i="7"/>
  <c r="U1" i="7"/>
  <c r="V1" i="7"/>
  <c r="W1" i="7"/>
  <c r="D3" i="7"/>
  <c r="E3" i="7"/>
  <c r="F3" i="7"/>
  <c r="G3" i="7"/>
  <c r="J3" i="7"/>
  <c r="G3" i="13"/>
  <c r="F3" i="13"/>
  <c r="E3" i="13"/>
  <c r="D3" i="13"/>
  <c r="C3" i="13" s="1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3" i="14"/>
  <c r="B3" i="13" l="1"/>
  <c r="B22" i="16"/>
  <c r="B3" i="7"/>
  <c r="C3" i="7"/>
  <c r="J16" i="16"/>
  <c r="D16" i="19"/>
  <c r="E16" i="19"/>
  <c r="F16" i="19"/>
  <c r="G16" i="19"/>
  <c r="M1" i="18"/>
  <c r="L1" i="18"/>
  <c r="K1" i="18"/>
  <c r="D16" i="16"/>
  <c r="B16" i="16" s="1"/>
  <c r="E16" i="16"/>
  <c r="F16" i="16"/>
  <c r="G16" i="16"/>
  <c r="C5" i="22"/>
  <c r="C6" i="22"/>
  <c r="C7" i="22"/>
  <c r="C8" i="22"/>
  <c r="C11" i="22"/>
  <c r="C12" i="22"/>
  <c r="C13" i="22"/>
  <c r="B5" i="22"/>
  <c r="B6" i="22"/>
  <c r="B7" i="22"/>
  <c r="B8" i="22"/>
  <c r="B11" i="22"/>
  <c r="B12" i="22"/>
  <c r="B13" i="22"/>
  <c r="C3" i="22"/>
  <c r="B3" i="22"/>
  <c r="C4" i="21"/>
  <c r="C5" i="21"/>
  <c r="C6" i="21"/>
  <c r="B4" i="21"/>
  <c r="B5" i="21"/>
  <c r="B6" i="21"/>
  <c r="C3" i="21"/>
  <c r="B3" i="21"/>
  <c r="C13" i="12"/>
  <c r="C14" i="12"/>
  <c r="B12" i="12"/>
  <c r="B13" i="12"/>
  <c r="B15" i="12"/>
  <c r="B1" i="12"/>
  <c r="B1" i="50"/>
  <c r="D4" i="12"/>
  <c r="C4" i="12" s="1"/>
  <c r="D5" i="12"/>
  <c r="C5" i="12" s="1"/>
  <c r="D6" i="12"/>
  <c r="C6" i="12" s="1"/>
  <c r="D7" i="12"/>
  <c r="C7" i="12" s="1"/>
  <c r="D8" i="12"/>
  <c r="C8" i="12" s="1"/>
  <c r="D9" i="12"/>
  <c r="B9" i="12" s="1"/>
  <c r="D10" i="12"/>
  <c r="B10" i="12" s="1"/>
  <c r="D11" i="12"/>
  <c r="B11" i="12" s="1"/>
  <c r="D12" i="12"/>
  <c r="C12" i="12" s="1"/>
  <c r="D13" i="12"/>
  <c r="D14" i="12"/>
  <c r="B14" i="12" s="1"/>
  <c r="D15" i="12"/>
  <c r="C15" i="12" s="1"/>
  <c r="D16" i="12"/>
  <c r="C16" i="12" s="1"/>
  <c r="D17" i="12"/>
  <c r="C17" i="12" s="1"/>
  <c r="D18" i="12"/>
  <c r="C18" i="12" s="1"/>
  <c r="D19" i="12"/>
  <c r="C19" i="12" s="1"/>
  <c r="D20" i="12"/>
  <c r="C20" i="12" s="1"/>
  <c r="D21" i="12"/>
  <c r="B21" i="12" s="1"/>
  <c r="D3" i="12"/>
  <c r="B3" i="12" s="1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J1" i="2"/>
  <c r="K1" i="17"/>
  <c r="B16" i="19" l="1"/>
  <c r="C16" i="19"/>
  <c r="U1" i="58"/>
  <c r="C16" i="16"/>
  <c r="B5" i="12"/>
  <c r="B8" i="12"/>
  <c r="B4" i="12"/>
  <c r="B7" i="12"/>
  <c r="B6" i="12"/>
  <c r="B20" i="12"/>
  <c r="B19" i="12"/>
  <c r="B18" i="12"/>
  <c r="B17" i="12"/>
  <c r="B16" i="12"/>
  <c r="C11" i="12"/>
  <c r="C10" i="12"/>
  <c r="C3" i="12"/>
  <c r="C21" i="12"/>
  <c r="C9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AW1" i="12"/>
  <c r="AX1" i="12"/>
  <c r="AY1" i="12"/>
  <c r="AZ1" i="12"/>
  <c r="BA1" i="12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K1" i="21"/>
  <c r="L1" i="21"/>
  <c r="M1" i="21"/>
  <c r="N1" i="21"/>
  <c r="O1" i="21"/>
  <c r="P1" i="21"/>
  <c r="Q1" i="21"/>
  <c r="R1" i="21"/>
  <c r="S1" i="21"/>
  <c r="T1" i="21"/>
  <c r="U1" i="21"/>
  <c r="V1" i="21"/>
  <c r="W1" i="21"/>
  <c r="X1" i="21"/>
  <c r="Y1" i="21"/>
  <c r="Z1" i="21"/>
  <c r="AA1" i="21"/>
  <c r="AB1" i="21"/>
  <c r="AC1" i="21"/>
  <c r="AD1" i="21"/>
  <c r="AE1" i="21"/>
  <c r="AF1" i="21"/>
  <c r="AG1" i="21"/>
  <c r="AH1" i="21"/>
  <c r="AI1" i="21"/>
  <c r="AJ1" i="21"/>
  <c r="AK1" i="21"/>
  <c r="AL1" i="21"/>
  <c r="AM1" i="21"/>
  <c r="AN1" i="21"/>
  <c r="AO1" i="21"/>
  <c r="AP1" i="21"/>
  <c r="AQ1" i="21"/>
  <c r="AR1" i="21"/>
  <c r="AS1" i="21"/>
  <c r="AT1" i="21"/>
  <c r="AU1" i="21"/>
  <c r="AV1" i="21"/>
  <c r="AW1" i="21"/>
  <c r="AX1" i="21"/>
  <c r="AY1" i="21"/>
  <c r="AZ1" i="21"/>
  <c r="BA1" i="21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H1" i="20"/>
  <c r="AI1" i="20"/>
  <c r="AJ1" i="20"/>
  <c r="AK1" i="20"/>
  <c r="AL1" i="20"/>
  <c r="AM1" i="20"/>
  <c r="AN1" i="20"/>
  <c r="AO1" i="20"/>
  <c r="AP1" i="20"/>
  <c r="AQ1" i="20"/>
  <c r="AR1" i="20"/>
  <c r="AS1" i="20"/>
  <c r="AT1" i="20"/>
  <c r="AU1" i="20"/>
  <c r="AV1" i="20"/>
  <c r="AW1" i="20"/>
  <c r="AX1" i="20"/>
  <c r="AY1" i="20"/>
  <c r="AZ1" i="20"/>
  <c r="BA1" i="20"/>
  <c r="K1" i="19"/>
  <c r="L1" i="19"/>
  <c r="M1" i="19"/>
  <c r="N1" i="19"/>
  <c r="O1" i="19"/>
  <c r="P1" i="19"/>
  <c r="Q1" i="19"/>
  <c r="R1" i="19"/>
  <c r="S1" i="19"/>
  <c r="T1" i="19"/>
  <c r="U1" i="19"/>
  <c r="V1" i="19"/>
  <c r="W1" i="19"/>
  <c r="X1" i="19"/>
  <c r="Y1" i="19"/>
  <c r="Z1" i="19"/>
  <c r="AA1" i="19"/>
  <c r="AB1" i="19"/>
  <c r="AC1" i="19"/>
  <c r="AD1" i="19"/>
  <c r="AE1" i="19"/>
  <c r="AF1" i="19"/>
  <c r="AG1" i="19"/>
  <c r="AH1" i="19"/>
  <c r="AI1" i="19"/>
  <c r="AJ1" i="19"/>
  <c r="AK1" i="19"/>
  <c r="AL1" i="19"/>
  <c r="AM1" i="19"/>
  <c r="AN1" i="19"/>
  <c r="AO1" i="19"/>
  <c r="AP1" i="19"/>
  <c r="AQ1" i="19"/>
  <c r="AR1" i="19"/>
  <c r="AS1" i="19"/>
  <c r="AT1" i="19"/>
  <c r="AU1" i="19"/>
  <c r="AV1" i="19"/>
  <c r="AW1" i="19"/>
  <c r="AX1" i="19"/>
  <c r="AY1" i="19"/>
  <c r="AZ1" i="19"/>
  <c r="BA1" i="19"/>
  <c r="K1" i="16"/>
  <c r="L1" i="16"/>
  <c r="M1" i="16"/>
  <c r="N1" i="16"/>
  <c r="O1" i="16"/>
  <c r="P1" i="16"/>
  <c r="Q1" i="16"/>
  <c r="R1" i="16"/>
  <c r="S1" i="16"/>
  <c r="T1" i="16"/>
  <c r="U1" i="16"/>
  <c r="V1" i="16"/>
  <c r="W1" i="16"/>
  <c r="X1" i="16"/>
  <c r="Y1" i="16"/>
  <c r="Z1" i="16"/>
  <c r="AA1" i="16"/>
  <c r="AB1" i="16"/>
  <c r="AC1" i="16"/>
  <c r="AD1" i="16"/>
  <c r="AE1" i="16"/>
  <c r="AF1" i="16"/>
  <c r="AG1" i="16"/>
  <c r="AH1" i="16"/>
  <c r="AI1" i="16"/>
  <c r="AJ1" i="16"/>
  <c r="AK1" i="16"/>
  <c r="AL1" i="16"/>
  <c r="AM1" i="16"/>
  <c r="AN1" i="16"/>
  <c r="AO1" i="16"/>
  <c r="AP1" i="16"/>
  <c r="AQ1" i="16"/>
  <c r="AR1" i="16"/>
  <c r="AS1" i="16"/>
  <c r="AT1" i="16"/>
  <c r="AU1" i="16"/>
  <c r="AV1" i="16"/>
  <c r="AW1" i="16"/>
  <c r="AX1" i="16"/>
  <c r="AY1" i="16"/>
  <c r="AZ1" i="16"/>
  <c r="BA1" i="16"/>
  <c r="N1" i="18"/>
  <c r="O1" i="18"/>
  <c r="P1" i="18"/>
  <c r="Q1" i="18"/>
  <c r="R1" i="18"/>
  <c r="S1" i="18"/>
  <c r="T1" i="18"/>
  <c r="U1" i="18"/>
  <c r="V1" i="18"/>
  <c r="W1" i="18"/>
  <c r="X1" i="18"/>
  <c r="Z1" i="18"/>
  <c r="AA1" i="18"/>
  <c r="AB1" i="18"/>
  <c r="AC1" i="18"/>
  <c r="AD1" i="18"/>
  <c r="AE1" i="18"/>
  <c r="AF1" i="18"/>
  <c r="AG1" i="18"/>
  <c r="AH1" i="18"/>
  <c r="AI1" i="18"/>
  <c r="AJ1" i="18"/>
  <c r="AK1" i="18"/>
  <c r="AL1" i="18"/>
  <c r="AM1" i="18"/>
  <c r="AN1" i="18"/>
  <c r="AO1" i="18"/>
  <c r="AP1" i="18"/>
  <c r="AQ1" i="18"/>
  <c r="AR1" i="18"/>
  <c r="AS1" i="18"/>
  <c r="AT1" i="18"/>
  <c r="AU1" i="18"/>
  <c r="AV1" i="18"/>
  <c r="AW1" i="18"/>
  <c r="AX1" i="18"/>
  <c r="AY1" i="18"/>
  <c r="AZ1" i="18"/>
  <c r="BA1" i="18"/>
  <c r="L1" i="17"/>
  <c r="M1" i="17"/>
  <c r="N1" i="17"/>
  <c r="O1" i="17"/>
  <c r="P1" i="17"/>
  <c r="Q1" i="17"/>
  <c r="T1" i="17"/>
  <c r="U1" i="17"/>
  <c r="V1" i="17"/>
  <c r="W1" i="17"/>
  <c r="X1" i="17"/>
  <c r="Y1" i="17"/>
  <c r="Z1" i="17"/>
  <c r="AA1" i="17"/>
  <c r="AB1" i="17"/>
  <c r="AC1" i="17"/>
  <c r="AD1" i="17"/>
  <c r="AE1" i="17"/>
  <c r="AF1" i="17"/>
  <c r="AG1" i="17"/>
  <c r="AH1" i="17"/>
  <c r="AI1" i="17"/>
  <c r="AJ1" i="17"/>
  <c r="AK1" i="17"/>
  <c r="AL1" i="17"/>
  <c r="AM1" i="17"/>
  <c r="AN1" i="17"/>
  <c r="AO1" i="17"/>
  <c r="AP1" i="17"/>
  <c r="AQ1" i="17"/>
  <c r="AR1" i="17"/>
  <c r="AS1" i="17"/>
  <c r="AT1" i="17"/>
  <c r="AU1" i="17"/>
  <c r="AV1" i="17"/>
  <c r="AW1" i="17"/>
  <c r="AX1" i="17"/>
  <c r="AY1" i="17"/>
  <c r="AZ1" i="17"/>
  <c r="BA1" i="17"/>
  <c r="U1" i="50"/>
  <c r="V1" i="50"/>
  <c r="W1" i="50"/>
  <c r="X1" i="50"/>
  <c r="Y1" i="50"/>
  <c r="Z1" i="50"/>
  <c r="AA1" i="50"/>
  <c r="AB1" i="50"/>
  <c r="AC1" i="50"/>
  <c r="AD1" i="50"/>
  <c r="AE1" i="50"/>
  <c r="AF1" i="50"/>
  <c r="AG1" i="50"/>
  <c r="AH1" i="50"/>
  <c r="AI1" i="50"/>
  <c r="AJ1" i="50"/>
  <c r="AK1" i="50"/>
  <c r="AL1" i="50"/>
  <c r="AM1" i="50"/>
  <c r="AN1" i="50"/>
  <c r="AO1" i="50"/>
  <c r="AP1" i="50"/>
  <c r="AQ1" i="50"/>
  <c r="AR1" i="50"/>
  <c r="AS1" i="50"/>
  <c r="AT1" i="50"/>
  <c r="AU1" i="50"/>
  <c r="AV1" i="50"/>
  <c r="AW1" i="50"/>
  <c r="AX1" i="50"/>
  <c r="AY1" i="50"/>
  <c r="AZ1" i="50"/>
  <c r="K1" i="50"/>
  <c r="L1" i="50"/>
  <c r="M1" i="50"/>
  <c r="N1" i="50"/>
  <c r="O1" i="50"/>
  <c r="P1" i="50"/>
  <c r="Q1" i="50"/>
  <c r="R1" i="50"/>
  <c r="S1" i="50"/>
  <c r="T1" i="50"/>
  <c r="BA1" i="50"/>
  <c r="T1" i="58" l="1"/>
  <c r="J21" i="17"/>
  <c r="G21" i="17"/>
  <c r="F21" i="17"/>
  <c r="E21" i="17"/>
  <c r="D21" i="17"/>
  <c r="D8" i="50"/>
  <c r="E8" i="50"/>
  <c r="F8" i="50"/>
  <c r="G8" i="50"/>
  <c r="J15" i="16"/>
  <c r="D15" i="16"/>
  <c r="B15" i="16" s="1"/>
  <c r="E15" i="16"/>
  <c r="F15" i="16"/>
  <c r="G15" i="16"/>
  <c r="C7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B7" i="52"/>
  <c r="B1" i="52"/>
  <c r="C1" i="52"/>
  <c r="D1" i="52"/>
  <c r="E1" i="52"/>
  <c r="F1" i="52"/>
  <c r="G1" i="52"/>
  <c r="H1" i="52"/>
  <c r="I1" i="52"/>
  <c r="J1" i="52"/>
  <c r="K1" i="52"/>
  <c r="L1" i="52"/>
  <c r="M1" i="52"/>
  <c r="N1" i="52"/>
  <c r="O1" i="52"/>
  <c r="P1" i="52"/>
  <c r="Q1" i="52"/>
  <c r="R1" i="52"/>
  <c r="S1" i="52"/>
  <c r="T1" i="52"/>
  <c r="A2" i="52"/>
  <c r="D17" i="50"/>
  <c r="G16" i="50"/>
  <c r="F16" i="50"/>
  <c r="E16" i="50"/>
  <c r="D16" i="50"/>
  <c r="G15" i="50"/>
  <c r="F15" i="50"/>
  <c r="E15" i="50"/>
  <c r="D15" i="50"/>
  <c r="G14" i="50"/>
  <c r="F14" i="50"/>
  <c r="E14" i="50"/>
  <c r="D14" i="50"/>
  <c r="G13" i="50"/>
  <c r="F13" i="50"/>
  <c r="E13" i="50"/>
  <c r="D13" i="50"/>
  <c r="G12" i="50"/>
  <c r="F12" i="50"/>
  <c r="E12" i="50"/>
  <c r="D12" i="50"/>
  <c r="G11" i="50"/>
  <c r="F11" i="50"/>
  <c r="E11" i="50"/>
  <c r="D11" i="50"/>
  <c r="G10" i="50"/>
  <c r="F10" i="50"/>
  <c r="E10" i="50"/>
  <c r="D10" i="50"/>
  <c r="G9" i="50"/>
  <c r="F9" i="50"/>
  <c r="E9" i="50"/>
  <c r="D9" i="50"/>
  <c r="G7" i="50"/>
  <c r="F7" i="50"/>
  <c r="E7" i="50"/>
  <c r="D7" i="50"/>
  <c r="G6" i="50"/>
  <c r="F6" i="50"/>
  <c r="E6" i="50"/>
  <c r="D6" i="50"/>
  <c r="G5" i="50"/>
  <c r="F5" i="50"/>
  <c r="E5" i="50"/>
  <c r="D5" i="50"/>
  <c r="G4" i="50"/>
  <c r="F4" i="50"/>
  <c r="E4" i="50"/>
  <c r="D4" i="50"/>
  <c r="G3" i="50"/>
  <c r="F3" i="50"/>
  <c r="E3" i="50"/>
  <c r="D3" i="50"/>
  <c r="E18" i="17"/>
  <c r="F18" i="17"/>
  <c r="G18" i="17"/>
  <c r="E19" i="17"/>
  <c r="F19" i="17"/>
  <c r="G19" i="17"/>
  <c r="E20" i="17"/>
  <c r="F20" i="17"/>
  <c r="G20" i="17"/>
  <c r="D15" i="7"/>
  <c r="E15" i="7"/>
  <c r="F15" i="7"/>
  <c r="G15" i="7"/>
  <c r="D9" i="7"/>
  <c r="E9" i="7"/>
  <c r="F9" i="7"/>
  <c r="G9" i="7"/>
  <c r="D10" i="7"/>
  <c r="E10" i="7"/>
  <c r="F10" i="7"/>
  <c r="G10" i="7"/>
  <c r="D11" i="7"/>
  <c r="E11" i="7"/>
  <c r="F11" i="7"/>
  <c r="G11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4" i="7"/>
  <c r="E8" i="7"/>
  <c r="F8" i="7"/>
  <c r="G8" i="7"/>
  <c r="E12" i="7"/>
  <c r="F12" i="7"/>
  <c r="G12" i="7"/>
  <c r="E13" i="7"/>
  <c r="F13" i="7"/>
  <c r="G13" i="7"/>
  <c r="E14" i="7"/>
  <c r="F14" i="7"/>
  <c r="G14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E21" i="7"/>
  <c r="F21" i="7"/>
  <c r="G21" i="7"/>
  <c r="E22" i="7"/>
  <c r="F22" i="7"/>
  <c r="G22" i="7"/>
  <c r="E23" i="7"/>
  <c r="F23" i="7"/>
  <c r="G23" i="7"/>
  <c r="D23" i="7"/>
  <c r="D22" i="7"/>
  <c r="D21" i="7"/>
  <c r="D20" i="7"/>
  <c r="D19" i="7"/>
  <c r="D18" i="7"/>
  <c r="D17" i="7"/>
  <c r="D16" i="7"/>
  <c r="D14" i="7"/>
  <c r="D13" i="7"/>
  <c r="D12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B1" i="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34" i="16"/>
  <c r="J33" i="16"/>
  <c r="J32" i="16"/>
  <c r="J31" i="16"/>
  <c r="J30" i="16"/>
  <c r="J28" i="16"/>
  <c r="J27" i="16"/>
  <c r="J26" i="16"/>
  <c r="J25" i="16"/>
  <c r="J24" i="16"/>
  <c r="J23" i="16"/>
  <c r="J21" i="16"/>
  <c r="J20" i="16"/>
  <c r="J19" i="16"/>
  <c r="J18" i="16"/>
  <c r="J17" i="16"/>
  <c r="J12" i="16"/>
  <c r="J9" i="16"/>
  <c r="J8" i="16"/>
  <c r="J6" i="16"/>
  <c r="J5" i="16"/>
  <c r="J4" i="16"/>
  <c r="J3" i="16"/>
  <c r="G19" i="13"/>
  <c r="F19" i="13"/>
  <c r="E19" i="13"/>
  <c r="D19" i="13"/>
  <c r="D24" i="13"/>
  <c r="E24" i="13"/>
  <c r="F24" i="13"/>
  <c r="G24" i="13"/>
  <c r="D14" i="13"/>
  <c r="E14" i="13"/>
  <c r="F14" i="13"/>
  <c r="G14" i="13"/>
  <c r="D15" i="13"/>
  <c r="E15" i="13"/>
  <c r="F15" i="13"/>
  <c r="G15" i="13"/>
  <c r="G23" i="13"/>
  <c r="F23" i="13"/>
  <c r="E23" i="13"/>
  <c r="D23" i="13"/>
  <c r="G22" i="13"/>
  <c r="F22" i="13"/>
  <c r="E22" i="13"/>
  <c r="D22" i="13"/>
  <c r="G21" i="13"/>
  <c r="F21" i="13"/>
  <c r="E21" i="13"/>
  <c r="D21" i="13"/>
  <c r="G20" i="13"/>
  <c r="F20" i="13"/>
  <c r="E20" i="13"/>
  <c r="D20" i="13"/>
  <c r="G18" i="13"/>
  <c r="F18" i="13"/>
  <c r="E18" i="13"/>
  <c r="D18" i="13"/>
  <c r="G17" i="13"/>
  <c r="F17" i="13"/>
  <c r="E17" i="13"/>
  <c r="D17" i="13"/>
  <c r="G16" i="13"/>
  <c r="F16" i="13"/>
  <c r="E16" i="13"/>
  <c r="D16" i="13"/>
  <c r="G13" i="13"/>
  <c r="F13" i="13"/>
  <c r="E13" i="13"/>
  <c r="D13" i="13"/>
  <c r="G12" i="13"/>
  <c r="F12" i="13"/>
  <c r="E12" i="13"/>
  <c r="D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G8" i="13"/>
  <c r="F8" i="13"/>
  <c r="E8" i="13"/>
  <c r="D8" i="13"/>
  <c r="G7" i="13"/>
  <c r="F7" i="13"/>
  <c r="E7" i="13"/>
  <c r="D7" i="13"/>
  <c r="G6" i="13"/>
  <c r="F6" i="13"/>
  <c r="E6" i="13"/>
  <c r="D6" i="13"/>
  <c r="G5" i="13"/>
  <c r="F5" i="13"/>
  <c r="E5" i="13"/>
  <c r="D5" i="13"/>
  <c r="G4" i="13"/>
  <c r="F4" i="13"/>
  <c r="E4" i="13"/>
  <c r="D4" i="13"/>
  <c r="B1" i="13"/>
  <c r="G17" i="14"/>
  <c r="F17" i="14"/>
  <c r="E17" i="14"/>
  <c r="D17" i="14"/>
  <c r="G16" i="14"/>
  <c r="F16" i="14"/>
  <c r="E16" i="14"/>
  <c r="D16" i="14"/>
  <c r="G15" i="14"/>
  <c r="F15" i="14"/>
  <c r="E15" i="14"/>
  <c r="D15" i="14"/>
  <c r="G14" i="14"/>
  <c r="F14" i="14"/>
  <c r="E14" i="14"/>
  <c r="D14" i="14"/>
  <c r="G13" i="14"/>
  <c r="F13" i="14"/>
  <c r="E13" i="14"/>
  <c r="D13" i="14"/>
  <c r="G12" i="14"/>
  <c r="F12" i="14"/>
  <c r="E12" i="14"/>
  <c r="D12" i="14"/>
  <c r="G11" i="14"/>
  <c r="F11" i="14"/>
  <c r="E11" i="14"/>
  <c r="D11" i="14"/>
  <c r="G10" i="14"/>
  <c r="F10" i="14"/>
  <c r="E10" i="14"/>
  <c r="D10" i="14"/>
  <c r="G9" i="14"/>
  <c r="F9" i="14"/>
  <c r="E9" i="14"/>
  <c r="D9" i="14"/>
  <c r="G8" i="14"/>
  <c r="F8" i="14"/>
  <c r="E8" i="14"/>
  <c r="D8" i="14"/>
  <c r="G7" i="14"/>
  <c r="F7" i="14"/>
  <c r="E7" i="14"/>
  <c r="D7" i="14"/>
  <c r="G6" i="14"/>
  <c r="F6" i="14"/>
  <c r="E6" i="14"/>
  <c r="D6" i="14"/>
  <c r="G5" i="14"/>
  <c r="F5" i="14"/>
  <c r="E5" i="14"/>
  <c r="D5" i="14"/>
  <c r="G4" i="14"/>
  <c r="F4" i="14"/>
  <c r="E4" i="14"/>
  <c r="D4" i="14"/>
  <c r="G3" i="14"/>
  <c r="F3" i="14"/>
  <c r="E3" i="14"/>
  <c r="D3" i="14"/>
  <c r="B1" i="14"/>
  <c r="E7" i="22"/>
  <c r="F7" i="22"/>
  <c r="G7" i="22"/>
  <c r="E8" i="22"/>
  <c r="F8" i="22"/>
  <c r="G8" i="22"/>
  <c r="E11" i="22"/>
  <c r="F11" i="22"/>
  <c r="E12" i="22"/>
  <c r="F12" i="22"/>
  <c r="G12" i="22"/>
  <c r="E13" i="22"/>
  <c r="F13" i="22"/>
  <c r="G13" i="22"/>
  <c r="G6" i="22"/>
  <c r="F6" i="22"/>
  <c r="E6" i="22"/>
  <c r="G5" i="22"/>
  <c r="F5" i="22"/>
  <c r="E5" i="22"/>
  <c r="G3" i="22"/>
  <c r="F3" i="22"/>
  <c r="E3" i="22"/>
  <c r="G6" i="21"/>
  <c r="F6" i="21"/>
  <c r="E6" i="21"/>
  <c r="D6" i="21"/>
  <c r="G5" i="21"/>
  <c r="F5" i="21"/>
  <c r="E5" i="21"/>
  <c r="D5" i="21"/>
  <c r="G4" i="21"/>
  <c r="F4" i="21"/>
  <c r="E4" i="21"/>
  <c r="D4" i="21"/>
  <c r="G3" i="21"/>
  <c r="F3" i="21"/>
  <c r="E3" i="21"/>
  <c r="D3" i="21"/>
  <c r="B1" i="21"/>
  <c r="G17" i="20"/>
  <c r="F17" i="20"/>
  <c r="E17" i="20"/>
  <c r="D17" i="20"/>
  <c r="G7" i="20"/>
  <c r="F7" i="20"/>
  <c r="E7" i="20"/>
  <c r="D7" i="20"/>
  <c r="G6" i="20"/>
  <c r="F6" i="20"/>
  <c r="E6" i="20"/>
  <c r="D6" i="20"/>
  <c r="G5" i="20"/>
  <c r="F5" i="20"/>
  <c r="E5" i="20"/>
  <c r="D5" i="20"/>
  <c r="G4" i="20"/>
  <c r="F4" i="20"/>
  <c r="E4" i="20"/>
  <c r="D4" i="20"/>
  <c r="G3" i="20"/>
  <c r="F3" i="20"/>
  <c r="E3" i="20"/>
  <c r="D3" i="20"/>
  <c r="B1" i="20"/>
  <c r="G25" i="19"/>
  <c r="F25" i="19"/>
  <c r="E25" i="19"/>
  <c r="D25" i="19"/>
  <c r="G19" i="19"/>
  <c r="F19" i="19"/>
  <c r="E19" i="19"/>
  <c r="D19" i="19"/>
  <c r="G18" i="19"/>
  <c r="F18" i="19"/>
  <c r="E18" i="19"/>
  <c r="D18" i="19"/>
  <c r="G22" i="19"/>
  <c r="F22" i="19"/>
  <c r="E22" i="19"/>
  <c r="D22" i="19"/>
  <c r="G21" i="19"/>
  <c r="F21" i="19"/>
  <c r="E21" i="19"/>
  <c r="D21" i="19"/>
  <c r="G20" i="19"/>
  <c r="F20" i="19"/>
  <c r="E20" i="19"/>
  <c r="D20" i="19"/>
  <c r="G17" i="19"/>
  <c r="F17" i="19"/>
  <c r="E17" i="19"/>
  <c r="D17" i="19"/>
  <c r="G9" i="19"/>
  <c r="F9" i="19"/>
  <c r="E9" i="19"/>
  <c r="D9" i="19"/>
  <c r="G8" i="19"/>
  <c r="F8" i="19"/>
  <c r="E8" i="19"/>
  <c r="D8" i="19"/>
  <c r="G7" i="19"/>
  <c r="F7" i="19"/>
  <c r="E7" i="19"/>
  <c r="D7" i="19"/>
  <c r="G6" i="19"/>
  <c r="F6" i="19"/>
  <c r="E6" i="19"/>
  <c r="D6" i="19"/>
  <c r="G15" i="19"/>
  <c r="F15" i="19"/>
  <c r="E15" i="19"/>
  <c r="D15" i="19"/>
  <c r="G14" i="19"/>
  <c r="F14" i="19"/>
  <c r="E14" i="19"/>
  <c r="D14" i="19"/>
  <c r="G13" i="19"/>
  <c r="F13" i="19"/>
  <c r="E13" i="19"/>
  <c r="D13" i="19"/>
  <c r="G12" i="19"/>
  <c r="F12" i="19"/>
  <c r="E12" i="19"/>
  <c r="D12" i="19"/>
  <c r="G11" i="19"/>
  <c r="F11" i="19"/>
  <c r="E11" i="19"/>
  <c r="D11" i="19"/>
  <c r="G10" i="19"/>
  <c r="F10" i="19"/>
  <c r="E10" i="19"/>
  <c r="D10" i="19"/>
  <c r="G5" i="19"/>
  <c r="F5" i="19"/>
  <c r="E5" i="19"/>
  <c r="D5" i="19"/>
  <c r="G4" i="19"/>
  <c r="F4" i="19"/>
  <c r="E4" i="19"/>
  <c r="D4" i="19"/>
  <c r="G3" i="19"/>
  <c r="F3" i="19"/>
  <c r="E3" i="19"/>
  <c r="D3" i="19"/>
  <c r="B1" i="19"/>
  <c r="E4" i="16"/>
  <c r="E5" i="16"/>
  <c r="E6" i="16"/>
  <c r="E8" i="16"/>
  <c r="E9" i="16"/>
  <c r="E12" i="16"/>
  <c r="E17" i="16"/>
  <c r="E18" i="16"/>
  <c r="E19" i="16"/>
  <c r="E20" i="16"/>
  <c r="E21" i="16"/>
  <c r="E23" i="16"/>
  <c r="E24" i="16"/>
  <c r="E25" i="16"/>
  <c r="E26" i="16"/>
  <c r="E27" i="16"/>
  <c r="E28" i="16"/>
  <c r="E30" i="16"/>
  <c r="E31" i="16"/>
  <c r="E32" i="16"/>
  <c r="E33" i="16"/>
  <c r="E34" i="16"/>
  <c r="F4" i="16"/>
  <c r="F5" i="16"/>
  <c r="F6" i="16"/>
  <c r="F8" i="16"/>
  <c r="F9" i="16"/>
  <c r="F12" i="16"/>
  <c r="F17" i="16"/>
  <c r="F18" i="16"/>
  <c r="F19" i="16"/>
  <c r="F20" i="16"/>
  <c r="F21" i="16"/>
  <c r="F23" i="16"/>
  <c r="F24" i="16"/>
  <c r="F25" i="16"/>
  <c r="F26" i="16"/>
  <c r="F27" i="16"/>
  <c r="F28" i="16"/>
  <c r="F30" i="16"/>
  <c r="F31" i="16"/>
  <c r="F32" i="16"/>
  <c r="F33" i="16"/>
  <c r="F34" i="16"/>
  <c r="G4" i="16"/>
  <c r="G5" i="16"/>
  <c r="G6" i="16"/>
  <c r="G8" i="16"/>
  <c r="G9" i="16"/>
  <c r="G12" i="16"/>
  <c r="G17" i="16"/>
  <c r="G18" i="16"/>
  <c r="G19" i="16"/>
  <c r="G20" i="16"/>
  <c r="G21" i="16"/>
  <c r="G23" i="16"/>
  <c r="G24" i="16"/>
  <c r="G25" i="16"/>
  <c r="G26" i="16"/>
  <c r="G27" i="16"/>
  <c r="G28" i="16"/>
  <c r="G30" i="16"/>
  <c r="G31" i="16"/>
  <c r="G32" i="16"/>
  <c r="G33" i="16"/>
  <c r="G34" i="16"/>
  <c r="G3" i="16"/>
  <c r="D34" i="16"/>
  <c r="D33" i="16"/>
  <c r="D32" i="16"/>
  <c r="D31" i="16"/>
  <c r="D30" i="16"/>
  <c r="D28" i="16"/>
  <c r="D27" i="16"/>
  <c r="D26" i="16"/>
  <c r="D25" i="16"/>
  <c r="D24" i="16"/>
  <c r="D23" i="16"/>
  <c r="D21" i="16"/>
  <c r="D20" i="16"/>
  <c r="D19" i="16"/>
  <c r="D18" i="16"/>
  <c r="D17" i="16"/>
  <c r="B17" i="16" s="1"/>
  <c r="D12" i="16"/>
  <c r="B12" i="16" s="1"/>
  <c r="D9" i="16"/>
  <c r="D8" i="16"/>
  <c r="D6" i="16"/>
  <c r="D5" i="16"/>
  <c r="D4" i="16"/>
  <c r="F3" i="16"/>
  <c r="E3" i="16"/>
  <c r="D3" i="16"/>
  <c r="B1" i="16"/>
  <c r="E4" i="18"/>
  <c r="E5" i="18"/>
  <c r="E6" i="18"/>
  <c r="E7" i="18"/>
  <c r="E8" i="18"/>
  <c r="E9" i="18"/>
  <c r="E10" i="18"/>
  <c r="E13" i="18"/>
  <c r="E14" i="18"/>
  <c r="E15" i="18"/>
  <c r="E16" i="18"/>
  <c r="E17" i="18"/>
  <c r="E18" i="18"/>
  <c r="E19" i="18"/>
  <c r="E11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F4" i="18"/>
  <c r="F5" i="18"/>
  <c r="F6" i="18"/>
  <c r="F7" i="18"/>
  <c r="F8" i="18"/>
  <c r="F9" i="18"/>
  <c r="F10" i="18"/>
  <c r="F14" i="18"/>
  <c r="F15" i="18"/>
  <c r="F16" i="18"/>
  <c r="F17" i="18"/>
  <c r="F18" i="18"/>
  <c r="F19" i="18"/>
  <c r="F11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G4" i="18"/>
  <c r="G5" i="18"/>
  <c r="G6" i="18"/>
  <c r="G7" i="18"/>
  <c r="G8" i="18"/>
  <c r="G9" i="18"/>
  <c r="G10" i="18"/>
  <c r="G13" i="18"/>
  <c r="G14" i="18"/>
  <c r="G15" i="18"/>
  <c r="G16" i="18"/>
  <c r="G17" i="18"/>
  <c r="G18" i="18"/>
  <c r="G19" i="18"/>
  <c r="G11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" i="18"/>
  <c r="D23" i="18"/>
  <c r="D24" i="18"/>
  <c r="D25" i="18"/>
  <c r="D26" i="18"/>
  <c r="D27" i="18"/>
  <c r="D28" i="18"/>
  <c r="D29" i="18"/>
  <c r="D30" i="18"/>
  <c r="D31" i="18"/>
  <c r="D32" i="18"/>
  <c r="D33" i="18"/>
  <c r="D22" i="18"/>
  <c r="D21" i="18"/>
  <c r="D20" i="18"/>
  <c r="D11" i="18"/>
  <c r="D19" i="18"/>
  <c r="D18" i="18"/>
  <c r="D17" i="18"/>
  <c r="D16" i="18"/>
  <c r="D15" i="18"/>
  <c r="D14" i="18"/>
  <c r="D13" i="18"/>
  <c r="D10" i="18"/>
  <c r="D9" i="18"/>
  <c r="D8" i="18"/>
  <c r="D7" i="18"/>
  <c r="D6" i="18"/>
  <c r="D5" i="18"/>
  <c r="B5" i="18" s="1"/>
  <c r="D4" i="18"/>
  <c r="B4" i="18" s="1"/>
  <c r="F3" i="18"/>
  <c r="E3" i="18"/>
  <c r="D3" i="18"/>
  <c r="B3" i="18" s="1"/>
  <c r="B1" i="18"/>
  <c r="D20" i="17"/>
  <c r="D19" i="17"/>
  <c r="D18" i="17"/>
  <c r="G17" i="17"/>
  <c r="F17" i="17"/>
  <c r="E17" i="17"/>
  <c r="D17" i="17"/>
  <c r="G16" i="17"/>
  <c r="F16" i="17"/>
  <c r="E16" i="17"/>
  <c r="D16" i="17"/>
  <c r="G15" i="17"/>
  <c r="F15" i="17"/>
  <c r="E15" i="17"/>
  <c r="D15" i="17"/>
  <c r="G14" i="17"/>
  <c r="F14" i="17"/>
  <c r="E14" i="17"/>
  <c r="D14" i="17"/>
  <c r="G13" i="17"/>
  <c r="F13" i="17"/>
  <c r="E13" i="17"/>
  <c r="D13" i="17"/>
  <c r="G12" i="17"/>
  <c r="F12" i="17"/>
  <c r="E12" i="17"/>
  <c r="D12" i="17"/>
  <c r="G11" i="17"/>
  <c r="F11" i="17"/>
  <c r="E11" i="17"/>
  <c r="D11" i="17"/>
  <c r="G10" i="17"/>
  <c r="F10" i="17"/>
  <c r="E10" i="17"/>
  <c r="D10" i="17"/>
  <c r="G9" i="17"/>
  <c r="F9" i="17"/>
  <c r="E9" i="17"/>
  <c r="D9" i="17"/>
  <c r="G8" i="17"/>
  <c r="F8" i="17"/>
  <c r="E8" i="17"/>
  <c r="D8" i="17"/>
  <c r="G7" i="17"/>
  <c r="F7" i="17"/>
  <c r="E7" i="17"/>
  <c r="D7" i="17"/>
  <c r="G6" i="17"/>
  <c r="F6" i="17"/>
  <c r="E6" i="17"/>
  <c r="D6" i="17"/>
  <c r="G5" i="17"/>
  <c r="F5" i="17"/>
  <c r="E5" i="17"/>
  <c r="D5" i="17"/>
  <c r="G4" i="17"/>
  <c r="F4" i="17"/>
  <c r="E4" i="17"/>
  <c r="D4" i="17"/>
  <c r="G3" i="17"/>
  <c r="F3" i="17"/>
  <c r="E3" i="17"/>
  <c r="D3" i="17"/>
  <c r="B1" i="17"/>
  <c r="E19" i="12"/>
  <c r="E20" i="12"/>
  <c r="E21" i="12"/>
  <c r="F19" i="12"/>
  <c r="F20" i="12"/>
  <c r="F21" i="12"/>
  <c r="G19" i="12"/>
  <c r="G20" i="12"/>
  <c r="G21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3" i="12"/>
  <c r="F3" i="12"/>
  <c r="G3" i="1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5" i="20" l="1"/>
  <c r="C5" i="20"/>
  <c r="C17" i="20"/>
  <c r="B17" i="20"/>
  <c r="C3" i="20"/>
  <c r="B3" i="20"/>
  <c r="B6" i="20"/>
  <c r="C6" i="20"/>
  <c r="B4" i="20"/>
  <c r="C4" i="20"/>
  <c r="B7" i="20"/>
  <c r="C7" i="20"/>
  <c r="B3" i="50"/>
  <c r="C3" i="50"/>
  <c r="B4" i="50"/>
  <c r="C4" i="50"/>
  <c r="B5" i="50"/>
  <c r="C5" i="50"/>
  <c r="B6" i="50"/>
  <c r="C6" i="50"/>
  <c r="B7" i="50"/>
  <c r="C7" i="50"/>
  <c r="B9" i="50"/>
  <c r="C9" i="50"/>
  <c r="B10" i="50"/>
  <c r="C10" i="50"/>
  <c r="B11" i="50"/>
  <c r="C11" i="50"/>
  <c r="B12" i="50"/>
  <c r="C12" i="50"/>
  <c r="B13" i="50"/>
  <c r="C13" i="50"/>
  <c r="B14" i="50"/>
  <c r="C14" i="50"/>
  <c r="B15" i="50"/>
  <c r="C15" i="50"/>
  <c r="B16" i="50"/>
  <c r="C16" i="50"/>
  <c r="B17" i="50"/>
  <c r="C17" i="50"/>
  <c r="B8" i="50"/>
  <c r="C8" i="50"/>
  <c r="C4" i="7"/>
  <c r="B4" i="7"/>
  <c r="C5" i="7"/>
  <c r="B5" i="7"/>
  <c r="C6" i="7"/>
  <c r="B6" i="7"/>
  <c r="C7" i="7"/>
  <c r="B7" i="7"/>
  <c r="C8" i="7"/>
  <c r="B8" i="7"/>
  <c r="C12" i="7"/>
  <c r="B12" i="7"/>
  <c r="C13" i="7"/>
  <c r="B13" i="7"/>
  <c r="C14" i="7"/>
  <c r="B14" i="7"/>
  <c r="C16" i="7"/>
  <c r="B16" i="7"/>
  <c r="C17" i="7"/>
  <c r="B17" i="7"/>
  <c r="C18" i="7"/>
  <c r="B18" i="7"/>
  <c r="C19" i="7"/>
  <c r="B19" i="7"/>
  <c r="C20" i="7"/>
  <c r="B20" i="7"/>
  <c r="C21" i="7"/>
  <c r="B21" i="7"/>
  <c r="C22" i="7"/>
  <c r="B22" i="7"/>
  <c r="C23" i="7"/>
  <c r="B23" i="7"/>
  <c r="C11" i="7"/>
  <c r="B11" i="7"/>
  <c r="C10" i="7"/>
  <c r="B10" i="7"/>
  <c r="C9" i="7"/>
  <c r="B9" i="7"/>
  <c r="C15" i="7"/>
  <c r="B15" i="7"/>
  <c r="C4" i="13"/>
  <c r="B4" i="13"/>
  <c r="C5" i="13"/>
  <c r="B5" i="13"/>
  <c r="C6" i="13"/>
  <c r="B6" i="13"/>
  <c r="C7" i="13"/>
  <c r="B7" i="13"/>
  <c r="C8" i="13"/>
  <c r="B8" i="13"/>
  <c r="C9" i="13"/>
  <c r="B9" i="13"/>
  <c r="C10" i="13"/>
  <c r="B10" i="13"/>
  <c r="C11" i="13"/>
  <c r="B11" i="13"/>
  <c r="C12" i="13"/>
  <c r="B12" i="13"/>
  <c r="C13" i="13"/>
  <c r="B13" i="13"/>
  <c r="C16" i="13"/>
  <c r="B16" i="13"/>
  <c r="C17" i="13"/>
  <c r="B17" i="13"/>
  <c r="C18" i="13"/>
  <c r="B18" i="13"/>
  <c r="C20" i="13"/>
  <c r="B20" i="13"/>
  <c r="C21" i="13"/>
  <c r="B21" i="13"/>
  <c r="C22" i="13"/>
  <c r="B22" i="13"/>
  <c r="C23" i="13"/>
  <c r="B23" i="13"/>
  <c r="C15" i="13"/>
  <c r="B15" i="13"/>
  <c r="C14" i="13"/>
  <c r="B14" i="13"/>
  <c r="C24" i="13"/>
  <c r="B24" i="13"/>
  <c r="C19" i="13"/>
  <c r="B19" i="13"/>
  <c r="C5" i="14"/>
  <c r="B5" i="14"/>
  <c r="B17" i="14"/>
  <c r="C17" i="14"/>
  <c r="C14" i="14"/>
  <c r="B14" i="14"/>
  <c r="C8" i="14"/>
  <c r="B8" i="14"/>
  <c r="C3" i="14"/>
  <c r="B3" i="14"/>
  <c r="B6" i="14"/>
  <c r="C6" i="14"/>
  <c r="C9" i="14"/>
  <c r="B9" i="14"/>
  <c r="C12" i="14"/>
  <c r="B12" i="14"/>
  <c r="B15" i="14"/>
  <c r="C15" i="14"/>
  <c r="C11" i="14"/>
  <c r="B11" i="14"/>
  <c r="C4" i="14"/>
  <c r="B4" i="14"/>
  <c r="C7" i="14"/>
  <c r="B7" i="14"/>
  <c r="C10" i="14"/>
  <c r="B10" i="14"/>
  <c r="C13" i="14"/>
  <c r="B13" i="14"/>
  <c r="C16" i="14"/>
  <c r="B16" i="14"/>
  <c r="B4" i="19"/>
  <c r="C4" i="19"/>
  <c r="B11" i="19"/>
  <c r="C11" i="19"/>
  <c r="B14" i="19"/>
  <c r="C14" i="19"/>
  <c r="C7" i="19"/>
  <c r="B7" i="19"/>
  <c r="C17" i="19"/>
  <c r="B17" i="19"/>
  <c r="B22" i="19"/>
  <c r="C22" i="19"/>
  <c r="C25" i="19"/>
  <c r="B25" i="19"/>
  <c r="B5" i="19"/>
  <c r="C5" i="19"/>
  <c r="B12" i="19"/>
  <c r="C12" i="19"/>
  <c r="C15" i="19"/>
  <c r="B15" i="19"/>
  <c r="C8" i="19"/>
  <c r="B8" i="19"/>
  <c r="B20" i="19"/>
  <c r="C20" i="19"/>
  <c r="B18" i="19"/>
  <c r="C18" i="19"/>
  <c r="B3" i="19"/>
  <c r="C3" i="19"/>
  <c r="C10" i="19"/>
  <c r="B10" i="19"/>
  <c r="B13" i="19"/>
  <c r="C13" i="19"/>
  <c r="C6" i="19"/>
  <c r="B6" i="19"/>
  <c r="C9" i="19"/>
  <c r="B9" i="19"/>
  <c r="C21" i="19"/>
  <c r="B21" i="19"/>
  <c r="B19" i="19"/>
  <c r="C19" i="19"/>
  <c r="B14" i="18"/>
  <c r="C14" i="18"/>
  <c r="B31" i="18"/>
  <c r="C31" i="18"/>
  <c r="B17" i="18"/>
  <c r="C17" i="18"/>
  <c r="B28" i="18"/>
  <c r="C28" i="18"/>
  <c r="B18" i="18"/>
  <c r="C18" i="18"/>
  <c r="B27" i="18"/>
  <c r="C27" i="18"/>
  <c r="C6" i="18"/>
  <c r="B6" i="18"/>
  <c r="B11" i="18"/>
  <c r="C11" i="18"/>
  <c r="B25" i="18"/>
  <c r="C25" i="18"/>
  <c r="B26" i="18"/>
  <c r="C26" i="18"/>
  <c r="C20" i="18"/>
  <c r="B20" i="18"/>
  <c r="B19" i="18"/>
  <c r="C19" i="18"/>
  <c r="B7" i="18"/>
  <c r="C7" i="18"/>
  <c r="B24" i="18"/>
  <c r="C24" i="18"/>
  <c r="B8" i="18"/>
  <c r="C8" i="18"/>
  <c r="B21" i="18"/>
  <c r="C21" i="18"/>
  <c r="B23" i="18"/>
  <c r="C23" i="18"/>
  <c r="B9" i="18"/>
  <c r="C9" i="18"/>
  <c r="B22" i="18"/>
  <c r="C22" i="18"/>
  <c r="B10" i="18"/>
  <c r="C10" i="18"/>
  <c r="B33" i="18"/>
  <c r="C33" i="18"/>
  <c r="B13" i="18"/>
  <c r="C13" i="18"/>
  <c r="C32" i="18"/>
  <c r="B32" i="18"/>
  <c r="B15" i="18"/>
  <c r="C15" i="18"/>
  <c r="B30" i="18"/>
  <c r="C30" i="18"/>
  <c r="B16" i="18"/>
  <c r="C16" i="18"/>
  <c r="C29" i="18"/>
  <c r="B29" i="18"/>
  <c r="B5" i="17"/>
  <c r="C5" i="17"/>
  <c r="B8" i="17"/>
  <c r="C8" i="17"/>
  <c r="C11" i="17"/>
  <c r="B11" i="17"/>
  <c r="C14" i="17"/>
  <c r="B14" i="17"/>
  <c r="B17" i="17"/>
  <c r="C17" i="17"/>
  <c r="B3" i="17"/>
  <c r="C3" i="17"/>
  <c r="B6" i="17"/>
  <c r="C6" i="17"/>
  <c r="B9" i="17"/>
  <c r="C9" i="17"/>
  <c r="C12" i="17"/>
  <c r="B12" i="17"/>
  <c r="C15" i="17"/>
  <c r="B15" i="17"/>
  <c r="B18" i="17"/>
  <c r="C18" i="17"/>
  <c r="C19" i="17"/>
  <c r="B19" i="17"/>
  <c r="B20" i="17"/>
  <c r="C20" i="17"/>
  <c r="B21" i="17"/>
  <c r="C21" i="17"/>
  <c r="C4" i="17"/>
  <c r="B4" i="17"/>
  <c r="C7" i="17"/>
  <c r="B7" i="17"/>
  <c r="B10" i="17"/>
  <c r="C10" i="17"/>
  <c r="C13" i="17"/>
  <c r="B13" i="17"/>
  <c r="C16" i="17"/>
  <c r="B16" i="17"/>
  <c r="C12" i="16"/>
  <c r="C28" i="16"/>
  <c r="B28" i="16"/>
  <c r="B30" i="16"/>
  <c r="C30" i="16"/>
  <c r="C17" i="16"/>
  <c r="B31" i="16"/>
  <c r="C31" i="16"/>
  <c r="B20" i="16"/>
  <c r="C20" i="16"/>
  <c r="B34" i="16"/>
  <c r="C34" i="16"/>
  <c r="B18" i="16"/>
  <c r="C18" i="16"/>
  <c r="B21" i="16"/>
  <c r="C21" i="16"/>
  <c r="C3" i="16"/>
  <c r="B3" i="16"/>
  <c r="B4" i="16"/>
  <c r="C4" i="16"/>
  <c r="B23" i="16"/>
  <c r="C23" i="16"/>
  <c r="B32" i="16"/>
  <c r="C32" i="16"/>
  <c r="B19" i="16"/>
  <c r="C19" i="16"/>
  <c r="C5" i="16"/>
  <c r="B5" i="16"/>
  <c r="B24" i="16"/>
  <c r="C24" i="16"/>
  <c r="C15" i="16"/>
  <c r="B6" i="16"/>
  <c r="C6" i="16"/>
  <c r="B25" i="16"/>
  <c r="C25" i="16"/>
  <c r="B33" i="16"/>
  <c r="C33" i="16"/>
  <c r="B8" i="16"/>
  <c r="C8" i="16"/>
  <c r="C26" i="16"/>
  <c r="B26" i="16"/>
  <c r="C9" i="16"/>
  <c r="B9" i="16"/>
  <c r="C27" i="16"/>
  <c r="B27" i="16"/>
  <c r="A2" i="6" l="1" a="1"/>
  <c r="A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tc={03BC9F82-8AF3-4754-9DFB-5CB7DB99DB09}</author>
  </authors>
  <commentList>
    <comment ref="H11" authorId="0" shapeId="0" xr:uid="{03BC9F82-8AF3-4754-9DFB-5CB7DB99DB09}">
      <text>
        <t>[Threaded comment]
Your version of Excel allows you to read this threaded comment; however, any edits to it will get removed if the file is opened in a newer version of Excel. Learn more: https://go.microsoft.com/fwlink/?linkid=870924
Comment:
    HRS customer support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<sst xmlns="http://schemas.openxmlformats.org/spreadsheetml/2006/main" count="1393" uniqueCount="318">
  <si>
    <t>Project Resource Sheet 관리</t>
  </si>
  <si>
    <t>1. New Project Sheet Creation</t>
  </si>
  <si>
    <t>A</t>
  </si>
  <si>
    <r>
      <rPr>
        <b/>
        <sz val="11"/>
        <color theme="1"/>
        <rFont val="맑은 고딕"/>
        <family val="2"/>
        <scheme val="minor"/>
      </rPr>
      <t xml:space="preserve">Temp. V00 </t>
    </r>
    <r>
      <rPr>
        <sz val="11"/>
        <color theme="1"/>
        <rFont val="맑은 고딕"/>
        <family val="2"/>
        <charset val="129"/>
        <scheme val="minor"/>
      </rPr>
      <t xml:space="preserve">sheet를 copy하여 sheet 이름을 수정하여 </t>
    </r>
    <r>
      <rPr>
        <b/>
        <sz val="11"/>
        <color theme="1"/>
        <rFont val="맑은 고딕"/>
        <family val="2"/>
        <scheme val="minor"/>
      </rPr>
      <t xml:space="preserve">&gt;&lt; (검정색 화살표) </t>
    </r>
    <r>
      <rPr>
        <sz val="11"/>
        <color theme="1"/>
        <rFont val="맑은 고딕"/>
        <family val="2"/>
        <charset val="129"/>
        <scheme val="minor"/>
      </rPr>
      <t>사이로 sheet를 옮긴다.</t>
    </r>
  </si>
  <si>
    <t>B</t>
  </si>
  <si>
    <t xml:space="preserve">검정색 화살표 사이에 Sheet를 넣으면 자동으로 SheetMerge로 Data가 통합된다. </t>
  </si>
  <si>
    <t>C</t>
  </si>
  <si>
    <t>Temp. V00</t>
  </si>
  <si>
    <t>*</t>
  </si>
  <si>
    <t>연두색 - 입력 혹은 선택 항목</t>
  </si>
  <si>
    <t>회색 - 자동입력</t>
  </si>
  <si>
    <t>Dropdown menu 에서 project를 선택하면  B1의 Project IO / B열 Status / C열 Project 내용이 자동으로 선택된다. - by PMO</t>
  </si>
  <si>
    <t>Dropdown menu 에서 Name을 선택하면  D열/E열/F열의 내용이 자동으로 선택된다. - by functions or PMO</t>
  </si>
  <si>
    <t>Gate5/Gate6 일정을 기재한다. (년/월 기재) - by PMO</t>
  </si>
  <si>
    <t>월별 HC를 입력한다. - by functions</t>
  </si>
  <si>
    <t>마지막 라인에 전체 project Gate plan 일정을 입력한다. 예) G1, G2….. - by PMO</t>
  </si>
  <si>
    <t>2. Summary Sheet 설명</t>
  </si>
  <si>
    <t>SheetMerge</t>
  </si>
  <si>
    <t>Do Not Change Anything</t>
  </si>
  <si>
    <t>입력한 project sheet의 모든 값들이 자동으로 통합되는 database sheet</t>
  </si>
  <si>
    <t>P1_정원</t>
  </si>
  <si>
    <t>Pivot Sheet</t>
  </si>
  <si>
    <t>The number of available HC</t>
  </si>
  <si>
    <t>P2_부서</t>
  </si>
  <si>
    <t>정원 대비 forecast demand 차이</t>
  </si>
  <si>
    <t>D</t>
  </si>
  <si>
    <t>P3_PRJ</t>
  </si>
  <si>
    <t>프로젝트 별 forecast 현황</t>
  </si>
  <si>
    <t>F</t>
  </si>
  <si>
    <t>P3_PRJ engineer gap</t>
  </si>
  <si>
    <t>Project allocation 별 engineer resource gap</t>
  </si>
  <si>
    <t>E</t>
  </si>
  <si>
    <t>P4_Name</t>
  </si>
  <si>
    <t>부서별 allocation 현황</t>
  </si>
  <si>
    <t>G</t>
  </si>
  <si>
    <t>Project IO</t>
  </si>
  <si>
    <t>Owner only allows changes</t>
  </si>
  <si>
    <t>Owner - Jinney L</t>
  </si>
  <si>
    <t>Project status / IO list</t>
  </si>
  <si>
    <t>H</t>
  </si>
  <si>
    <t>정원</t>
  </si>
  <si>
    <t>Owner - Jinney L / Mogen S / Dorothy N</t>
  </si>
  <si>
    <t>IS 총인원</t>
  </si>
  <si>
    <t>99. Revision Note</t>
    <phoneticPr fontId="1" type="noConversion"/>
  </si>
  <si>
    <t>Ver.</t>
    <phoneticPr fontId="1" type="noConversion"/>
  </si>
  <si>
    <t>Date</t>
    <phoneticPr fontId="1" type="noConversion"/>
  </si>
  <si>
    <t>Description</t>
    <phoneticPr fontId="1" type="noConversion"/>
  </si>
  <si>
    <t>V1</t>
    <phoneticPr fontId="1" type="noConversion"/>
  </si>
  <si>
    <t>양식 변경</t>
    <phoneticPr fontId="1" type="noConversion"/>
  </si>
  <si>
    <t>V1.1</t>
    <phoneticPr fontId="1" type="noConversion"/>
  </si>
  <si>
    <t>Excel Error 복구</t>
    <phoneticPr fontId="1" type="noConversion"/>
  </si>
  <si>
    <t>V1.2</t>
    <phoneticPr fontId="1" type="noConversion"/>
  </si>
  <si>
    <t>PJT Lifecycle</t>
    <phoneticPr fontId="1" type="noConversion"/>
  </si>
  <si>
    <t>자동입력</t>
  </si>
  <si>
    <t>Resource Plan</t>
    <phoneticPr fontId="1" type="noConversion"/>
  </si>
  <si>
    <t>SUM</t>
    <phoneticPr fontId="1" type="noConversion"/>
  </si>
  <si>
    <t>No</t>
  </si>
  <si>
    <t>Status</t>
  </si>
  <si>
    <t>PJT Lifecycle</t>
  </si>
  <si>
    <t>Project</t>
  </si>
  <si>
    <t>Resource Department</t>
  </si>
  <si>
    <t>Sub-Team</t>
  </si>
  <si>
    <t>Resource Role</t>
  </si>
  <si>
    <t>Name</t>
    <phoneticPr fontId="1" type="noConversion"/>
  </si>
  <si>
    <t>G5</t>
  </si>
  <si>
    <t>G6</t>
  </si>
  <si>
    <t>JiYoung Son</t>
  </si>
  <si>
    <t>Jinney Lee</t>
  </si>
  <si>
    <t>Project manager</t>
  </si>
  <si>
    <t>Dorothy Noh</t>
  </si>
  <si>
    <t>Tech Lead</t>
  </si>
  <si>
    <t>System engineer</t>
  </si>
  <si>
    <t>Service engineer</t>
  </si>
  <si>
    <t>Jeremy Park</t>
  </si>
  <si>
    <t>Mechanical engineer</t>
  </si>
  <si>
    <t>Mogen Seo</t>
  </si>
  <si>
    <t>Gerald Park</t>
  </si>
  <si>
    <t>Software engineer</t>
  </si>
  <si>
    <t>SW test engineer</t>
  </si>
  <si>
    <t>Joshua Im</t>
  </si>
  <si>
    <t>Electrical engineer</t>
  </si>
  <si>
    <t>Gate Plan</t>
  </si>
  <si>
    <t>G2</t>
    <phoneticPr fontId="1" type="noConversion"/>
  </si>
  <si>
    <t>G5</t>
    <phoneticPr fontId="1" type="noConversion"/>
  </si>
  <si>
    <t>G6</t>
    <phoneticPr fontId="1" type="noConversion"/>
  </si>
  <si>
    <t>Resource Role</t>
    <phoneticPr fontId="1" type="noConversion"/>
  </si>
  <si>
    <t>Name</t>
  </si>
  <si>
    <t>Total IS NPI</t>
  </si>
  <si>
    <t>Sustaining SW</t>
  </si>
  <si>
    <t>Unify support SW</t>
  </si>
  <si>
    <t>파견 LPLN SE</t>
  </si>
  <si>
    <t>Total available HC</t>
  </si>
  <si>
    <t>행 레이블</t>
  </si>
  <si>
    <t>합계 : 25-Nov</t>
  </si>
  <si>
    <t>합계 : 25-Dec</t>
  </si>
  <si>
    <t>합계 : 26-Jan</t>
  </si>
  <si>
    <t>합계 : 26-Feb</t>
  </si>
  <si>
    <t>합계 : 26-Mar</t>
  </si>
  <si>
    <t>합계 : 26-Apr</t>
  </si>
  <si>
    <t>합계 : 26-May</t>
  </si>
  <si>
    <t>합계 : 26-Jun</t>
  </si>
  <si>
    <t>합계 : 26-Jul</t>
  </si>
  <si>
    <t>합계 : 26-Aug</t>
  </si>
  <si>
    <t>합계 : 26-Sep</t>
  </si>
  <si>
    <t>합계 : 26-Oct</t>
  </si>
  <si>
    <t>합계 : 26-Nov</t>
  </si>
  <si>
    <t>합계 : 26-Dec</t>
  </si>
  <si>
    <t>Sum of 27-Jan</t>
  </si>
  <si>
    <t>Sum of 27-Feb</t>
  </si>
  <si>
    <t>Sum of 27-Mar</t>
  </si>
  <si>
    <t>Sum of 27-Apr</t>
  </si>
  <si>
    <t>Sum of 27-May</t>
  </si>
  <si>
    <t>Sum of 27-Jun</t>
  </si>
  <si>
    <t>Sum of 27-Jul</t>
  </si>
  <si>
    <t>Sum of 27-Aug</t>
  </si>
  <si>
    <t>Sum of 27-Sep</t>
  </si>
  <si>
    <t>Sum of 27-Oct</t>
  </si>
  <si>
    <t>Sum of 27-Nov</t>
  </si>
  <si>
    <t>Sum of 27-Dec</t>
  </si>
  <si>
    <t>Control Eng.</t>
  </si>
  <si>
    <t>Engineering</t>
  </si>
  <si>
    <t>NPI IS</t>
  </si>
  <si>
    <t>PMO</t>
  </si>
  <si>
    <t>총합계</t>
  </si>
  <si>
    <t>Engineer HC</t>
  </si>
  <si>
    <t>TSG/파견 SW</t>
  </si>
  <si>
    <t>LPLN 파견</t>
  </si>
  <si>
    <t>Available HC</t>
  </si>
  <si>
    <t>Resource role - engineering only</t>
  </si>
  <si>
    <t>PM</t>
  </si>
  <si>
    <t>Technician</t>
  </si>
  <si>
    <t>Resource role - All</t>
  </si>
  <si>
    <t>정원 - Plan</t>
  </si>
  <si>
    <t>(모두)</t>
  </si>
  <si>
    <t>(다중 항목)</t>
  </si>
  <si>
    <t>Total HC  VS Plan</t>
  </si>
  <si>
    <t>Total HC</t>
  </si>
  <si>
    <t>CatOX Alpha design</t>
  </si>
  <si>
    <t>Ganymede support - PCCA</t>
  </si>
  <si>
    <t>Havasu</t>
  </si>
  <si>
    <t>HRS Integrates</t>
  </si>
  <si>
    <t>Micron A&amp;D</t>
  </si>
  <si>
    <t>R&amp;D General - Legacy/TSG</t>
  </si>
  <si>
    <t>Tumalo Ph1</t>
  </si>
  <si>
    <t>Tumalo Ph2</t>
  </si>
  <si>
    <t>Unify support</t>
  </si>
  <si>
    <t>Gen3 EUV Zenith Plus 7SRC TSMC</t>
  </si>
  <si>
    <t>LPLN TOP 150 support</t>
  </si>
  <si>
    <t>Kanara</t>
  </si>
  <si>
    <t>HRS</t>
  </si>
  <si>
    <t>Functional Engineer Requirement</t>
  </si>
  <si>
    <t>Sum of 26-Sep</t>
  </si>
  <si>
    <t>Sum of 26-Oct</t>
  </si>
  <si>
    <t>합계 : 27-Mar</t>
  </si>
  <si>
    <t>합계 : 27-Apr</t>
  </si>
  <si>
    <t>합계 : 27-Jul</t>
  </si>
  <si>
    <t>합계 : 27-Aug</t>
  </si>
  <si>
    <t>합계 : 27-Sep</t>
  </si>
  <si>
    <t>Project Requirement</t>
  </si>
  <si>
    <t>Active</t>
  </si>
  <si>
    <t>합계 : 25-Jun</t>
  </si>
  <si>
    <t>합계 : 25-Jul</t>
  </si>
  <si>
    <t>합계 : 25-Aug</t>
  </si>
  <si>
    <t>합계 : 25-Sep</t>
  </si>
  <si>
    <t>합계 : 25-Oct</t>
  </si>
  <si>
    <t>* Manager</t>
  </si>
  <si>
    <t>* Eng Manager</t>
  </si>
  <si>
    <t>Electrical</t>
  </si>
  <si>
    <t>Mechanical</t>
  </si>
  <si>
    <t>Software</t>
  </si>
  <si>
    <t>Leader</t>
  </si>
  <si>
    <t>Ashley Yun</t>
  </si>
  <si>
    <t>Ethan Jung</t>
  </si>
  <si>
    <t>Rachel Bae</t>
  </si>
  <si>
    <t>Roy Choi</t>
  </si>
  <si>
    <t>Owen Rim</t>
  </si>
  <si>
    <t>Amelia An</t>
  </si>
  <si>
    <t>Dave Kim</t>
  </si>
  <si>
    <t>Moonsu Cho</t>
  </si>
  <si>
    <t>System □</t>
  </si>
  <si>
    <t>System 1</t>
  </si>
  <si>
    <t>Chan Hwang</t>
  </si>
  <si>
    <t>Judy Lee</t>
  </si>
  <si>
    <t>Anders You</t>
  </si>
  <si>
    <t>Chloe Jeong</t>
  </si>
  <si>
    <t>Ricky Kim</t>
  </si>
  <si>
    <t>Robin Park</t>
  </si>
  <si>
    <t>Michael Kim</t>
  </si>
  <si>
    <t>System 2</t>
  </si>
  <si>
    <t>Sophie Kim</t>
  </si>
  <si>
    <t>Harry Kwak</t>
  </si>
  <si>
    <t>Jess Kim</t>
  </si>
  <si>
    <t>Kevin Ko</t>
  </si>
  <si>
    <t>Stella Lim</t>
  </si>
  <si>
    <t>Chad Seo</t>
  </si>
  <si>
    <t>Emma Kim</t>
  </si>
  <si>
    <t>System 3</t>
  </si>
  <si>
    <t>Fred Lee</t>
  </si>
  <si>
    <t xml:space="preserve">Alyssa Park </t>
  </si>
  <si>
    <t>Noah Yeom</t>
  </si>
  <si>
    <t>Tred Park</t>
  </si>
  <si>
    <t>Grace Ji</t>
  </si>
  <si>
    <t>Jacob Lee</t>
  </si>
  <si>
    <t>William Lee</t>
  </si>
  <si>
    <t>Do Not Change This Sheet</t>
  </si>
  <si>
    <t>Last Update</t>
  </si>
  <si>
    <t>Project JO</t>
  </si>
  <si>
    <t>PCAS Status</t>
  </si>
  <si>
    <t>Project Lifecycle</t>
  </si>
  <si>
    <t>Terminology of Project Lifecycle Status in SUN PMO</t>
  </si>
  <si>
    <t>Lead</t>
  </si>
  <si>
    <t>* Define status in terms of Start to End of Phase Gate</t>
  </si>
  <si>
    <t>Planning</t>
  </si>
  <si>
    <t>예) Gate0가 끝나고 Gate1까지는 "Opportunity"</t>
  </si>
  <si>
    <t>PCAS Pre-Gate 1 Support(SIA)</t>
  </si>
  <si>
    <t>Complete</t>
  </si>
  <si>
    <t>406437 </t>
  </si>
  <si>
    <t>EUV Zenith Plus</t>
  </si>
  <si>
    <t>Launched</t>
  </si>
  <si>
    <t>Carl Zeiss</t>
  </si>
  <si>
    <t>TBC</t>
  </si>
  <si>
    <t>Cancelled</t>
  </si>
  <si>
    <t>CatOX</t>
  </si>
  <si>
    <t>potential</t>
    <phoneticPr fontId="1" type="noConversion"/>
  </si>
  <si>
    <t>HRS 9N Upgarde</t>
  </si>
  <si>
    <t>Opportunty</t>
  </si>
  <si>
    <t>Plan</t>
  </si>
  <si>
    <t>Projedt Status 정의 - PCAS IS NPI 기준</t>
  </si>
  <si>
    <t>Hermes</t>
  </si>
  <si>
    <t xml:space="preserve">Decision made on 2025.10 </t>
  </si>
  <si>
    <t xml:space="preserve">Active </t>
  </si>
  <si>
    <t>PCP에 의해 승인받고 IS NPI에서 진행하고 있는 commit project - Current product 지원 포함</t>
  </si>
  <si>
    <t>ETO</t>
  </si>
  <si>
    <t>완료된 project - Gate6 or Gate5 pass로 TSG hand-over가 완료된 project</t>
  </si>
  <si>
    <t>Pre CPR for IS</t>
  </si>
  <si>
    <t>Pre-Gate1(Gate2) 로 NPI Project 시작 전 PCAS NPI에서 project(support) 진행을 협의 및 검토 중인 단계</t>
  </si>
  <si>
    <t>Potential</t>
  </si>
  <si>
    <t>Gate0 단계 혹은 RFQ 단계의 project로 NPI 에서 진행하는 것이 협의되지 않은 상태의 모든 project or support</t>
  </si>
  <si>
    <t>정원</t>
    <phoneticPr fontId="1" type="noConversion"/>
  </si>
  <si>
    <t>SuM</t>
  </si>
  <si>
    <t>* Manager</t>
    <phoneticPr fontId="1" type="noConversion"/>
  </si>
  <si>
    <t>* Eng Manager</t>
    <phoneticPr fontId="1" type="noConversion"/>
  </si>
  <si>
    <t>Eugene Lee</t>
  </si>
  <si>
    <t>PM</t>
    <phoneticPr fontId="1" type="noConversion"/>
  </si>
  <si>
    <t>Evan Lee</t>
  </si>
  <si>
    <t>Yuro Lee</t>
  </si>
  <si>
    <t>NPI IS</t>
    <phoneticPr fontId="1" type="noConversion"/>
  </si>
  <si>
    <t>System 1</t>
    <phoneticPr fontId="1" type="noConversion"/>
  </si>
  <si>
    <t>System engineer</t>
    <phoneticPr fontId="1" type="noConversion"/>
  </si>
  <si>
    <t>Move</t>
  </si>
  <si>
    <t>Service engineer</t>
    <phoneticPr fontId="1" type="noConversion"/>
  </si>
  <si>
    <t>System 3</t>
    <phoneticPr fontId="1" type="noConversion"/>
  </si>
  <si>
    <t>Parental leave</t>
  </si>
  <si>
    <t>System 2</t>
    <phoneticPr fontId="1" type="noConversion"/>
  </si>
  <si>
    <t>Mechanical</t>
    <phoneticPr fontId="1" type="noConversion"/>
  </si>
  <si>
    <t>Leader</t>
    <phoneticPr fontId="1" type="noConversion"/>
  </si>
  <si>
    <t>Allie Park</t>
  </si>
  <si>
    <t>Mechanical engineer</t>
    <phoneticPr fontId="1" type="noConversion"/>
  </si>
  <si>
    <t>Wayne Jo</t>
  </si>
  <si>
    <t>Jiny Park</t>
  </si>
  <si>
    <t>Evan Yu</t>
  </si>
  <si>
    <t>Jayce Park</t>
  </si>
  <si>
    <t>Esther Jeong</t>
  </si>
  <si>
    <t>Sooyoung Song</t>
  </si>
  <si>
    <t>Derek Cho</t>
  </si>
  <si>
    <t>Jayden Lee</t>
  </si>
  <si>
    <t>Control Eng.</t>
    <phoneticPr fontId="1" type="noConversion"/>
  </si>
  <si>
    <t>Software</t>
    <phoneticPr fontId="1" type="noConversion"/>
  </si>
  <si>
    <t>Software engineer</t>
    <phoneticPr fontId="1" type="noConversion"/>
  </si>
  <si>
    <t>SW test engineer</t>
    <phoneticPr fontId="1" type="noConversion"/>
  </si>
  <si>
    <t>Electrical</t>
    <phoneticPr fontId="1" type="noConversion"/>
  </si>
  <si>
    <t>Andy Jang</t>
  </si>
  <si>
    <t>Electrical engineer</t>
    <phoneticPr fontId="1" type="noConversion"/>
  </si>
  <si>
    <t>May Kwon</t>
  </si>
  <si>
    <t>Dean Choi</t>
  </si>
  <si>
    <t>Hana Lee</t>
    <phoneticPr fontId="1" type="noConversion"/>
  </si>
  <si>
    <t>Julia Mun</t>
  </si>
  <si>
    <t>초안용 범례 (검은선 위쪽에 정원 등록 요망, 행 삽입/삭제 가능)</t>
    <phoneticPr fontId="1" type="noConversion"/>
  </si>
  <si>
    <t>Gate plan</t>
    <phoneticPr fontId="1" type="noConversion"/>
  </si>
  <si>
    <t>Project Manager</t>
    <phoneticPr fontId="1" type="noConversion"/>
  </si>
  <si>
    <t>PMO</t>
    <phoneticPr fontId="1" type="noConversion"/>
  </si>
  <si>
    <t>Tech Lead</t>
    <phoneticPr fontId="1" type="noConversion"/>
  </si>
  <si>
    <r>
      <t xml:space="preserve">System </t>
    </r>
    <r>
      <rPr>
        <sz val="11"/>
        <color rgb="FF000000"/>
        <rFont val="Segoe UI Symbol"/>
        <family val="2"/>
      </rPr>
      <t>□</t>
    </r>
    <phoneticPr fontId="1" type="noConversion"/>
  </si>
  <si>
    <t>-</t>
    <phoneticPr fontId="1" type="noConversion"/>
  </si>
  <si>
    <t>N/A</t>
  </si>
  <si>
    <t>General Support</t>
  </si>
  <si>
    <t>Start</t>
  </si>
  <si>
    <t>End</t>
  </si>
  <si>
    <t>Micron A&amp;D</t>
    <phoneticPr fontId="1" type="noConversion"/>
  </si>
  <si>
    <t>Dean Choi</t>
    <phoneticPr fontId="1" type="noConversion"/>
  </si>
  <si>
    <t>Moonsu Cho</t>
    <phoneticPr fontId="1" type="noConversion"/>
  </si>
  <si>
    <t>Update</t>
  </si>
  <si>
    <t>Jiyoung Son</t>
  </si>
  <si>
    <t>Jeremy Park</t>
    <phoneticPr fontId="1" type="noConversion"/>
  </si>
  <si>
    <t>Allie Park</t>
    <phoneticPr fontId="1" type="noConversion"/>
  </si>
  <si>
    <t>Wayne Jo</t>
    <phoneticPr fontId="1" type="noConversion"/>
  </si>
  <si>
    <t>Mogen Seo</t>
    <phoneticPr fontId="1" type="noConversion"/>
  </si>
  <si>
    <t>Ethan Jung</t>
    <phoneticPr fontId="1" type="noConversion"/>
  </si>
  <si>
    <t>Dave Kim</t>
    <phoneticPr fontId="1" type="noConversion"/>
  </si>
  <si>
    <t>May Kwon</t>
    <phoneticPr fontId="1" type="noConversion"/>
  </si>
  <si>
    <t>Julia Mun</t>
    <phoneticPr fontId="1" type="noConversion"/>
  </si>
  <si>
    <t>G2</t>
  </si>
  <si>
    <t>G3</t>
  </si>
  <si>
    <t>G4</t>
  </si>
  <si>
    <t>Havasu</t>
    <phoneticPr fontId="1" type="noConversion"/>
  </si>
  <si>
    <t>Roy choi</t>
    <phoneticPr fontId="1" type="noConversion"/>
  </si>
  <si>
    <t>Andy Jang</t>
    <phoneticPr fontId="1" type="noConversion"/>
  </si>
  <si>
    <t>Roy Choi</t>
    <phoneticPr fontId="1" type="noConversion"/>
  </si>
  <si>
    <t>Ashley Yun</t>
    <phoneticPr fontId="1" type="noConversion"/>
  </si>
  <si>
    <t>Rachel Bae</t>
    <phoneticPr fontId="1" type="noConversion"/>
  </si>
  <si>
    <t>Amelia An</t>
    <phoneticPr fontId="1" type="noConversion"/>
  </si>
  <si>
    <t>Chloe Jeong</t>
    <phoneticPr fontId="1" type="noConversion"/>
  </si>
  <si>
    <t>G3</t>
    <phoneticPr fontId="1" type="noConversion"/>
  </si>
  <si>
    <t>G5/G6</t>
  </si>
  <si>
    <t>G1</t>
  </si>
  <si>
    <t>G3/G4</t>
  </si>
  <si>
    <t>[IO No]</t>
    <phoneticPr fontId="1" type="noConversion"/>
  </si>
  <si>
    <t>LPLN1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</si>
</sst>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00"/>
    <numFmt numFmtId="166" formatCode="yy\/mm\/dd"/>
    <numFmt numFmtId="167" formatCode="yyyy/mm/dd;@"/>
    <numFmt numFmtId="168" formatCode="[$-409]d&quot;-&quot;mmm&quot;-&quot;yy;@"/>
    <numFmt numFmtId="169" formatCode="_(* #,##0_);_(* \(#,##0\);_(* &quot;-&quot;??_);_(@_)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맑은 고딕"/>
      <family val="2"/>
      <charset val="129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Segoe UI Symbol"/>
      <family val="2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rgb="FF9C57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Calibri"/>
      <family val="2"/>
      <charset val="129"/>
    </font>
    <font>
      <b/>
      <sz val="11"/>
      <name val="Calibri"/>
      <family val="2"/>
      <charset val="129"/>
    </font>
    <font>
      <b/>
      <sz val="11"/>
      <color rgb="FFFFFFFF"/>
      <name val="Calibri"/>
      <family val="2"/>
      <charset val="129"/>
    </font>
    <font>
      <b/>
      <i/>
      <u/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2"/>
      <color rgb="FF0070C0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b/>
      <sz val="14"/>
      <color rgb="FF0070C0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1"/>
      <color theme="1"/>
      <name val="calribi"/>
    </font>
    <font>
      <sz val="11"/>
      <color rgb="FF000000"/>
      <name val="calribi"/>
    </font>
    <font>
      <b/>
      <sz val="11"/>
      <color theme="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indexed="8"/>
      <name val="Calibri"/>
      <family val="2"/>
    </font>
    <font>
      <b/>
      <i/>
      <u/>
      <sz val="11"/>
      <color theme="1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C0006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b/>
      <sz val="11"/>
      <color rgb="FF0070C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4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rgb="FF0070C0"/>
      <name val="Calibri"/>
      <family val="2"/>
    </font>
    <font>
      <b/>
      <sz val="11"/>
      <name val="맑은 고딕"/>
      <family val="2"/>
      <scheme val="minor"/>
    </font>
    <font>
      <sz val="11"/>
      <color rgb="FF7030A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E8E8E8"/>
        <bgColor rgb="FF196B24"/>
      </patternFill>
    </fill>
    <fill>
      <patternFill patternType="solid">
        <fgColor rgb="FF196B24"/>
        <bgColor rgb="FF196B2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196B2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</borders>
  <cellStyleXfs count="4">
    <xf numFmtId="0" fontId="0" fillId="0" borderId="0">
      <alignment vertical="center"/>
    </xf>
    <xf numFmtId="0" fontId="12" fillId="9" borderId="0" applyNumberFormat="0" applyBorder="0" applyAlignment="0" applyProtection="0"/>
    <xf numFmtId="0" fontId="14" fillId="11" borderId="0" applyNumberFormat="0" applyBorder="0" applyAlignment="0" applyProtection="0"/>
    <xf numFmtId="164" fontId="34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4" fillId="5" borderId="1" xfId="0" applyFont="1" applyFill="1" applyBorder="1" applyAlignment="1"/>
    <xf numFmtId="0" fontId="4" fillId="5" borderId="1" xfId="0" applyFont="1" applyFill="1" applyBorder="1" applyAlignment="1">
      <alignment horizontal="center"/>
    </xf>
    <xf numFmtId="16" fontId="5" fillId="6" borderId="2" xfId="0" applyNumberFormat="1" applyFont="1" applyFill="1" applyBorder="1" applyAlignment="1"/>
    <xf numFmtId="16" fontId="5" fillId="6" borderId="1" xfId="0" applyNumberFormat="1" applyFont="1" applyFill="1" applyBorder="1" applyAlignment="1"/>
    <xf numFmtId="16" fontId="5" fillId="6" borderId="2" xfId="0" applyNumberFormat="1" applyFont="1" applyFill="1" applyBorder="1" applyAlignment="1">
      <alignment horizontal="center" vertical="center"/>
    </xf>
    <xf numFmtId="16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  <xf numFmtId="166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 applyAlignment="1"/>
    <xf numFmtId="0" fontId="11" fillId="8" borderId="0" xfId="0" applyFont="1" applyFill="1">
      <alignment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0" fontId="3" fillId="12" borderId="0" xfId="0" applyFont="1" applyFill="1" applyAlignment="1"/>
    <xf numFmtId="0" fontId="3" fillId="13" borderId="0" xfId="0" applyFont="1" applyFill="1" applyAlignment="1"/>
    <xf numFmtId="0" fontId="4" fillId="14" borderId="1" xfId="0" applyFont="1" applyFill="1" applyBorder="1" applyAlignment="1">
      <alignment horizontal="center"/>
    </xf>
    <xf numFmtId="0" fontId="17" fillId="16" borderId="0" xfId="0" applyFont="1" applyFill="1" applyAlignment="1"/>
    <xf numFmtId="0" fontId="17" fillId="15" borderId="0" xfId="0" applyFont="1" applyFill="1" applyAlignment="1"/>
    <xf numFmtId="0" fontId="16" fillId="12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20" fillId="12" borderId="0" xfId="0" applyFont="1" applyFill="1">
      <alignment vertical="center"/>
    </xf>
    <xf numFmtId="165" fontId="0" fillId="16" borderId="0" xfId="0" applyNumberFormat="1" applyFill="1" applyAlignment="1">
      <alignment horizontal="center" vertical="center"/>
    </xf>
    <xf numFmtId="0" fontId="21" fillId="17" borderId="0" xfId="0" applyFont="1" applyFill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167" fontId="0" fillId="16" borderId="0" xfId="0" applyNumberFormat="1" applyFill="1" applyAlignment="1">
      <alignment horizontal="center" vertical="center"/>
    </xf>
    <xf numFmtId="0" fontId="16" fillId="0" borderId="0" xfId="0" applyFont="1">
      <alignment vertical="center"/>
    </xf>
    <xf numFmtId="0" fontId="26" fillId="0" borderId="0" xfId="0" applyFont="1">
      <alignment vertical="center"/>
    </xf>
    <xf numFmtId="0" fontId="16" fillId="16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20" fillId="12" borderId="3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165" fontId="0" fillId="16" borderId="3" xfId="0" applyNumberFormat="1" applyFill="1" applyBorder="1" applyAlignment="1">
      <alignment horizontal="center" vertical="center"/>
    </xf>
    <xf numFmtId="14" fontId="2" fillId="16" borderId="3" xfId="0" applyNumberFormat="1" applyFont="1" applyFill="1" applyBorder="1" applyAlignment="1">
      <alignment horizontal="center" vertical="center"/>
    </xf>
    <xf numFmtId="0" fontId="17" fillId="16" borderId="3" xfId="0" applyFont="1" applyFill="1" applyBorder="1" applyAlignment="1"/>
    <xf numFmtId="0" fontId="17" fillId="15" borderId="3" xfId="0" applyFont="1" applyFill="1" applyBorder="1" applyAlignment="1"/>
    <xf numFmtId="0" fontId="17" fillId="13" borderId="3" xfId="0" applyFont="1" applyFill="1" applyBorder="1" applyAlignment="1"/>
    <xf numFmtId="0" fontId="18" fillId="14" borderId="3" xfId="0" applyFont="1" applyFill="1" applyBorder="1" applyAlignment="1">
      <alignment horizontal="center"/>
    </xf>
    <xf numFmtId="16" fontId="19" fillId="6" borderId="3" xfId="0" applyNumberFormat="1" applyFont="1" applyFill="1" applyBorder="1" applyAlignment="1"/>
    <xf numFmtId="0" fontId="15" fillId="0" borderId="3" xfId="0" applyFont="1" applyBorder="1">
      <alignment vertical="center"/>
    </xf>
    <xf numFmtId="0" fontId="3" fillId="0" borderId="3" xfId="0" applyFont="1" applyBorder="1" applyAlignment="1"/>
    <xf numFmtId="0" fontId="3" fillId="12" borderId="3" xfId="0" applyFont="1" applyFill="1" applyBorder="1" applyAlignment="1"/>
    <xf numFmtId="16" fontId="3" fillId="0" borderId="3" xfId="0" applyNumberFormat="1" applyFont="1" applyBorder="1" applyAlignment="1"/>
    <xf numFmtId="0" fontId="13" fillId="0" borderId="3" xfId="0" applyFont="1" applyBorder="1" applyAlignment="1"/>
    <xf numFmtId="0" fontId="4" fillId="0" borderId="3" xfId="0" applyFont="1" applyBorder="1" applyAlignment="1"/>
    <xf numFmtId="0" fontId="7" fillId="0" borderId="3" xfId="0" applyFont="1" applyBorder="1" applyAlignment="1"/>
    <xf numFmtId="0" fontId="3" fillId="0" borderId="3" xfId="0" applyFont="1" applyBorder="1" applyAlignment="1">
      <alignment horizontal="right"/>
    </xf>
    <xf numFmtId="0" fontId="8" fillId="0" borderId="3" xfId="0" applyFont="1" applyBorder="1" applyAlignment="1"/>
    <xf numFmtId="0" fontId="3" fillId="13" borderId="3" xfId="0" applyFont="1" applyFill="1" applyBorder="1" applyAlignment="1"/>
    <xf numFmtId="0" fontId="4" fillId="14" borderId="3" xfId="0" applyFont="1" applyFill="1" applyBorder="1" applyAlignment="1">
      <alignment horizontal="center"/>
    </xf>
    <xf numFmtId="16" fontId="5" fillId="6" borderId="3" xfId="0" applyNumberFormat="1" applyFont="1" applyFill="1" applyBorder="1" applyAlignment="1"/>
    <xf numFmtId="0" fontId="0" fillId="12" borderId="3" xfId="0" applyFill="1" applyBorder="1" applyAlignment="1">
      <alignment horizontal="center" vertical="center"/>
    </xf>
    <xf numFmtId="17" fontId="3" fillId="0" borderId="3" xfId="0" applyNumberFormat="1" applyFont="1" applyBorder="1" applyAlignment="1"/>
    <xf numFmtId="17" fontId="0" fillId="0" borderId="0" xfId="0" applyNumberFormat="1">
      <alignment vertical="center"/>
    </xf>
    <xf numFmtId="0" fontId="13" fillId="16" borderId="3" xfId="0" applyFont="1" applyFill="1" applyBorder="1" applyAlignment="1">
      <alignment horizontal="center" vertical="center"/>
    </xf>
    <xf numFmtId="17" fontId="27" fillId="0" borderId="0" xfId="0" applyNumberFormat="1" applyFont="1">
      <alignment vertical="center"/>
    </xf>
    <xf numFmtId="0" fontId="27" fillId="0" borderId="0" xfId="0" applyFont="1">
      <alignment vertical="center"/>
    </xf>
    <xf numFmtId="0" fontId="28" fillId="0" borderId="0" xfId="0" applyFont="1" applyAlignment="1"/>
    <xf numFmtId="0" fontId="29" fillId="8" borderId="0" xfId="0" applyFont="1" applyFill="1" applyAlignment="1">
      <alignment horizontal="center" vertical="center"/>
    </xf>
    <xf numFmtId="168" fontId="19" fillId="6" borderId="3" xfId="0" applyNumberFormat="1" applyFont="1" applyFill="1" applyBorder="1" applyAlignment="1"/>
    <xf numFmtId="168" fontId="15" fillId="0" borderId="3" xfId="0" applyNumberFormat="1" applyFont="1" applyBorder="1">
      <alignment vertical="center"/>
    </xf>
    <xf numFmtId="1" fontId="0" fillId="0" borderId="3" xfId="0" applyNumberFormat="1" applyBorder="1">
      <alignment vertical="center"/>
    </xf>
    <xf numFmtId="0" fontId="30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indent="1"/>
    </xf>
    <xf numFmtId="0" fontId="0" fillId="0" borderId="3" xfId="0" applyBorder="1" applyAlignment="1">
      <alignment horizontal="left" vertical="center" indent="1"/>
    </xf>
    <xf numFmtId="0" fontId="31" fillId="12" borderId="0" xfId="0" applyFont="1" applyFill="1">
      <alignment vertical="center"/>
    </xf>
    <xf numFmtId="0" fontId="3" fillId="15" borderId="0" xfId="0" applyFont="1" applyFill="1" applyAlignment="1"/>
    <xf numFmtId="14" fontId="0" fillId="0" borderId="0" xfId="0" applyNumberFormat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15" fillId="12" borderId="0" xfId="0" applyFont="1" applyFill="1" applyAlignment="1">
      <alignment horizontal="center" vertical="center"/>
    </xf>
    <xf numFmtId="0" fontId="33" fillId="16" borderId="0" xfId="0" applyFont="1" applyFill="1" applyAlignment="1"/>
    <xf numFmtId="0" fontId="33" fillId="15" borderId="0" xfId="0" applyFont="1" applyFill="1" applyAlignment="1"/>
    <xf numFmtId="0" fontId="13" fillId="18" borderId="3" xfId="0" applyFont="1" applyFill="1" applyBorder="1" applyAlignment="1"/>
    <xf numFmtId="0" fontId="0" fillId="18" borderId="3" xfId="0" applyFill="1" applyBorder="1">
      <alignment vertical="center"/>
    </xf>
    <xf numFmtId="0" fontId="3" fillId="18" borderId="3" xfId="0" applyFont="1" applyFill="1" applyBorder="1" applyAlignment="1"/>
    <xf numFmtId="0" fontId="4" fillId="18" borderId="3" xfId="0" applyFont="1" applyFill="1" applyBorder="1" applyAlignment="1"/>
    <xf numFmtId="0" fontId="8" fillId="18" borderId="3" xfId="0" applyFont="1" applyFill="1" applyBorder="1" applyAlignment="1"/>
    <xf numFmtId="2" fontId="0" fillId="0" borderId="0" xfId="0" applyNumberFormat="1">
      <alignment vertical="center"/>
    </xf>
    <xf numFmtId="164" fontId="0" fillId="0" borderId="0" xfId="3" applyFont="1">
      <alignment vertical="center"/>
    </xf>
    <xf numFmtId="164" fontId="0" fillId="0" borderId="0" xfId="0" applyNumberFormat="1">
      <alignment vertical="center"/>
    </xf>
    <xf numFmtId="0" fontId="35" fillId="18" borderId="0" xfId="0" applyFont="1" applyFill="1">
      <alignment vertical="center"/>
    </xf>
    <xf numFmtId="0" fontId="0" fillId="19" borderId="0" xfId="0" applyFill="1">
      <alignment vertical="center"/>
    </xf>
    <xf numFmtId="0" fontId="0" fillId="2" borderId="0" xfId="0" applyFill="1">
      <alignment vertical="center"/>
    </xf>
    <xf numFmtId="0" fontId="36" fillId="18" borderId="0" xfId="0" applyFont="1" applyFill="1">
      <alignment vertical="center"/>
    </xf>
    <xf numFmtId="0" fontId="37" fillId="0" borderId="0" xfId="0" applyFont="1">
      <alignment vertical="center"/>
    </xf>
    <xf numFmtId="0" fontId="38" fillId="9" borderId="0" xfId="1" applyFont="1" applyAlignment="1">
      <alignment vertical="center"/>
    </xf>
    <xf numFmtId="16" fontId="38" fillId="9" borderId="0" xfId="1" applyNumberFormat="1" applyFont="1" applyAlignment="1">
      <alignment vertical="center"/>
    </xf>
    <xf numFmtId="15" fontId="38" fillId="9" borderId="0" xfId="1" applyNumberFormat="1" applyFont="1" applyAlignment="1">
      <alignment vertical="center"/>
    </xf>
    <xf numFmtId="0" fontId="22" fillId="10" borderId="0" xfId="0" applyFont="1" applyFill="1" applyAlignment="1"/>
    <xf numFmtId="0" fontId="22" fillId="10" borderId="0" xfId="0" applyFont="1" applyFill="1" applyAlignment="1">
      <alignment horizontal="center"/>
    </xf>
    <xf numFmtId="0" fontId="22" fillId="10" borderId="0" xfId="0" applyFont="1" applyFill="1">
      <alignment vertical="center"/>
    </xf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 applyAlignment="1"/>
    <xf numFmtId="0" fontId="40" fillId="11" borderId="0" xfId="2" applyFont="1" applyAlignment="1">
      <alignment horizontal="center"/>
    </xf>
    <xf numFmtId="0" fontId="41" fillId="0" borderId="0" xfId="0" applyFont="1" applyAlignment="1"/>
    <xf numFmtId="0" fontId="41" fillId="11" borderId="0" xfId="2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/>
    <xf numFmtId="0" fontId="42" fillId="11" borderId="0" xfId="2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5" fillId="12" borderId="3" xfId="0" applyFont="1" applyFill="1" applyBorder="1" applyAlignment="1">
      <alignment horizontal="center" vertical="center"/>
    </xf>
    <xf numFmtId="0" fontId="32" fillId="12" borderId="3" xfId="0" applyFont="1" applyFill="1" applyBorder="1">
      <alignment vertical="center"/>
    </xf>
    <xf numFmtId="0" fontId="43" fillId="18" borderId="0" xfId="0" applyFont="1" applyFill="1">
      <alignment vertical="center"/>
    </xf>
    <xf numFmtId="0" fontId="0" fillId="10" borderId="0" xfId="0" applyFill="1">
      <alignment vertical="center"/>
    </xf>
    <xf numFmtId="0" fontId="33" fillId="15" borderId="3" xfId="0" applyFont="1" applyFill="1" applyBorder="1" applyAlignment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/>
    </xf>
    <xf numFmtId="16" fontId="5" fillId="6" borderId="2" xfId="0" applyNumberFormat="1" applyFont="1" applyFill="1" applyBorder="1" applyAlignment="1">
      <alignment horizontal="left"/>
    </xf>
    <xf numFmtId="16" fontId="5" fillId="6" borderId="1" xfId="0" applyNumberFormat="1" applyFont="1" applyFill="1" applyBorder="1" applyAlignment="1">
      <alignment horizontal="left"/>
    </xf>
    <xf numFmtId="0" fontId="44" fillId="0" borderId="0" xfId="0" applyFont="1">
      <alignment vertical="center"/>
    </xf>
    <xf numFmtId="0" fontId="0" fillId="20" borderId="0" xfId="0" applyFill="1">
      <alignment vertical="center"/>
    </xf>
    <xf numFmtId="0" fontId="4" fillId="2" borderId="3" xfId="0" applyFont="1" applyFill="1" applyBorder="1" applyAlignment="1"/>
    <xf numFmtId="0" fontId="7" fillId="2" borderId="3" xfId="0" applyFont="1" applyFill="1" applyBorder="1" applyAlignment="1"/>
    <xf numFmtId="0" fontId="13" fillId="2" borderId="3" xfId="0" applyFont="1" applyFill="1" applyBorder="1" applyAlignment="1"/>
    <xf numFmtId="0" fontId="3" fillId="19" borderId="0" xfId="0" applyFont="1" applyFill="1" applyAlignment="1"/>
    <xf numFmtId="0" fontId="14" fillId="11" borderId="0" xfId="2" applyAlignment="1">
      <alignment horizontal="center"/>
    </xf>
    <xf numFmtId="0" fontId="15" fillId="16" borderId="0" xfId="0" applyFont="1" applyFill="1" applyAlignment="1">
      <alignment horizontal="center" vertical="center"/>
    </xf>
    <xf numFmtId="0" fontId="32" fillId="12" borderId="0" xfId="0" applyFont="1" applyFill="1">
      <alignment vertical="center"/>
    </xf>
    <xf numFmtId="0" fontId="13" fillId="0" borderId="0" xfId="0" applyFont="1" applyAlignment="1"/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3" xfId="0" applyFont="1" applyBorder="1" applyAlignment="1"/>
    <xf numFmtId="0" fontId="0" fillId="16" borderId="0" xfId="0" applyFill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169" fontId="0" fillId="0" borderId="0" xfId="0" applyNumberFormat="1">
      <alignment vertical="center"/>
    </xf>
    <xf numFmtId="0" fontId="0" fillId="20" borderId="0" xfId="0" applyFill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" fillId="2" borderId="0" xfId="0" applyFont="1" applyFill="1" applyAlignment="1"/>
    <xf numFmtId="0" fontId="16" fillId="19" borderId="0" xfId="0" applyFont="1" applyFill="1">
      <alignment vertical="center"/>
    </xf>
    <xf numFmtId="0" fontId="48" fillId="16" borderId="0" xfId="0" applyFont="1" applyFill="1">
      <alignment vertical="center"/>
    </xf>
    <xf numFmtId="0" fontId="16" fillId="16" borderId="0" xfId="0" applyFont="1" applyFill="1">
      <alignment vertical="center"/>
    </xf>
    <xf numFmtId="0" fontId="49" fillId="0" borderId="3" xfId="0" applyFont="1" applyBorder="1" applyAlignment="1"/>
    <xf numFmtId="0" fontId="6" fillId="21" borderId="0" xfId="0" applyFont="1" applyFill="1" applyAlignment="1"/>
    <xf numFmtId="0" fontId="0" fillId="21" borderId="0" xfId="0" applyFill="1" applyAlignment="1"/>
    <xf numFmtId="0" fontId="3" fillId="21" borderId="0" xfId="0" applyFont="1" applyFill="1" applyAlignment="1"/>
    <xf numFmtId="0" fontId="3" fillId="0" borderId="3" xfId="0" applyFont="1" applyBorder="1" applyAlignment="1"/>
  </cellXfs>
  <cellStyles count="4">
    <cellStyle name="나쁨" xfId="1" builtinId="27"/>
    <cellStyle name="보통" xfId="2" builtinId="28"/>
    <cellStyle name="쉼표 [0]" xfId="3" builtinId="6"/>
    <cellStyle name="표준" xfId="0" builtinId="0"/>
  </cellStyles>
  <dxfs count="1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FF7C80"/>
      <color rgb="FFFFFF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101751</xdr:colOff>
      <xdr:row>15</xdr:row>
      <xdr:rowOff>138793</xdr:rowOff>
    </xdr:from>
    <xdr:to>
      <xdr:col>20</xdr:col>
      <xdr:colOff>162001</xdr:colOff>
      <xdr:row>34</xdr:row>
      <xdr:rowOff>139298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E7625-2E31-EDF5-8FDA-516879B9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822" y="3091543"/>
          <a:ext cx="12469965" cy="3620005"/>
        </a:xfrm>
        <a:prstGeom prst="rect">
          <a:avLst/>
        </a:prstGeom>
      </xdr:spPr>
    </xdr:pic>
    <xdr:clientData/>
  </xdr:twoCellAnchor>
  <xdr:twoCellAnchor>
    <xdr:from>
      <xdr:col>4</xdr:col>
      <xdr:colOff>353786</xdr:colOff>
      <xdr:row>16</xdr:row>
      <xdr:rowOff>108857</xdr:rowOff>
    </xdr:from>
    <xdr:to>
      <xdr:col>16</xdr:col>
      <xdr:colOff>675357</xdr:colOff>
      <xdr:row>34</xdr:row>
      <xdr:rowOff>83003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1A32A75-949F-4759-8CB0-395EF867D595}"/>
            </a:ext>
          </a:extLst>
        </xdr:cNvPr>
        <xdr:cNvGrpSpPr/>
      </xdr:nvGrpSpPr>
      <xdr:grpSpPr>
        <a:xfrm>
          <a:off x="1230086" y="3595007"/>
          <a:ext cx="10046596" cy="3746046"/>
          <a:chOff x="1057275" y="2714625"/>
          <a:chExt cx="9096945" cy="3403146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F4A80512-4612-FB79-F686-A7D2DC95B88D}"/>
              </a:ext>
            </a:extLst>
          </xdr:cNvPr>
          <xdr:cNvSpPr/>
        </xdr:nvSpPr>
        <xdr:spPr>
          <a:xfrm flipH="1">
            <a:off x="1057275" y="2714625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1</a:t>
            </a:r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82419DA6-89A9-0BA8-7B9F-FA15E11E4A32}"/>
              </a:ext>
            </a:extLst>
          </xdr:cNvPr>
          <xdr:cNvSpPr/>
        </xdr:nvSpPr>
        <xdr:spPr>
          <a:xfrm flipH="1">
            <a:off x="7450348" y="2828925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273CECD0-51BE-C6F0-4338-487FF1135989}"/>
              </a:ext>
            </a:extLst>
          </xdr:cNvPr>
          <xdr:cNvSpPr/>
        </xdr:nvSpPr>
        <xdr:spPr>
          <a:xfrm flipH="1">
            <a:off x="8306084" y="3137807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3</a:t>
            </a:r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595DFB17-A80B-7690-0405-1B06B9476F7D}"/>
              </a:ext>
            </a:extLst>
          </xdr:cNvPr>
          <xdr:cNvSpPr/>
        </xdr:nvSpPr>
        <xdr:spPr>
          <a:xfrm flipH="1">
            <a:off x="9877995" y="4071257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4</a:t>
            </a:r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2A8C4DFE-08F9-C07B-A11B-E0BECAF4CD52}"/>
              </a:ext>
            </a:extLst>
          </xdr:cNvPr>
          <xdr:cNvSpPr/>
        </xdr:nvSpPr>
        <xdr:spPr>
          <a:xfrm flipH="1">
            <a:off x="7377316" y="5841546"/>
            <a:ext cx="276225" cy="276225"/>
          </a:xfrm>
          <a:prstGeom prst="ellipse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54218</xdr:colOff>
      <xdr:row>5</xdr:row>
      <xdr:rowOff>141411</xdr:rowOff>
    </xdr:from>
    <xdr:to>
      <xdr:col>20</xdr:col>
      <xdr:colOff>40884</xdr:colOff>
      <xdr:row>16</xdr:row>
      <xdr:rowOff>169617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6DE97-6B08-D45A-513B-4A89CD3E8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493" y="1189161"/>
          <a:ext cx="9587866" cy="23370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inney Lee" id="{46182860-CA87-46F7-9F43-7D0D13F33D5D}" userId="S::jinney.lee@edwardsvacuum.com::8daf40da-1042-4c1b-8ddb-d2f3d8f1bf1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eongMo Seo" refreshedDate="45994.568798263892" createdVersion="8" refreshedVersion="8" minRefreshableVersion="3" recordCount="81" xr:uid="{48271F19-D61E-4D1E-B7F8-B893E79119D2}">
  <cacheSource type="worksheet">
    <worksheetSource ref="A2:AZ1048576" sheet="정원"/>
  </cacheSource>
  <cacheFields count="52">
    <cacheField name="No" numFmtId="0">
      <sharedItems containsBlank="1" containsMixedTypes="1" containsNumber="1" containsInteger="1" minValue="1" maxValue="53"/>
    </cacheField>
    <cacheField name="Status" numFmtId="0">
      <sharedItems containsNonDate="0" containsString="0" containsBlank="1"/>
    </cacheField>
    <cacheField name="Project" numFmtId="0">
      <sharedItems containsBlank="1"/>
    </cacheField>
    <cacheField name="Name" numFmtId="0">
      <sharedItems containsBlank="1"/>
    </cacheField>
    <cacheField name="Resource Department" numFmtId="0">
      <sharedItems containsBlank="1" count="5">
        <s v="Engineering"/>
        <s v="PMO"/>
        <s v="NPI IS"/>
        <s v="Control Eng."/>
        <m/>
      </sharedItems>
    </cacheField>
    <cacheField name="Sub-Team" numFmtId="0">
      <sharedItems containsBlank="1"/>
    </cacheField>
    <cacheField name="Resource Role" numFmtId="0">
      <sharedItems containsBlank="1" count="13">
        <s v="* Eng Manager"/>
        <s v="* Manager"/>
        <s v="PM"/>
        <s v="Tech Lead"/>
        <s v="System engineer"/>
        <s v="Technician"/>
        <s v="Service engineer"/>
        <s v="Leader"/>
        <s v="Mechanical engineer"/>
        <s v="Software engineer"/>
        <s v="SW test engineer"/>
        <s v="Electrical engineer"/>
        <m/>
      </sharedItems>
    </cacheField>
    <cacheField name="G5" numFmtId="0">
      <sharedItems containsNonDate="0" containsString="0" containsBlank="1"/>
    </cacheField>
    <cacheField name="G6" numFmtId="0">
      <sharedItems containsNonDate="0" containsString="0" containsBlank="1"/>
    </cacheField>
    <cacheField name="25-Jun" numFmtId="0">
      <sharedItems containsString="0" containsBlank="1" containsNumber="1" minValue="0.4" maxValue="1"/>
    </cacheField>
    <cacheField name="25-Jul" numFmtId="0">
      <sharedItems containsString="0" containsBlank="1" containsNumber="1" minValue="0.4" maxValue="1"/>
    </cacheField>
    <cacheField name="25-Aug" numFmtId="0">
      <sharedItems containsString="0" containsBlank="1" containsNumber="1" minValue="0.4" maxValue="1"/>
    </cacheField>
    <cacheField name="25-Sep" numFmtId="0">
      <sharedItems containsString="0" containsBlank="1" containsNumber="1" minValue="0.4" maxValue="1"/>
    </cacheField>
    <cacheField name="25-Oct" numFmtId="0">
      <sharedItems containsString="0" containsBlank="1" containsNumber="1" minValue="0.4" maxValue="1"/>
    </cacheField>
    <cacheField name="25-Nov" numFmtId="0">
      <sharedItems containsString="0" containsBlank="1" containsNumber="1" minValue="0.4" maxValue="1"/>
    </cacheField>
    <cacheField name="25-Dec" numFmtId="0">
      <sharedItems containsString="0" containsBlank="1" containsNumber="1" minValue="0.4" maxValue="1"/>
    </cacheField>
    <cacheField name="26-Jan" numFmtId="0">
      <sharedItems containsString="0" containsBlank="1" containsNumber="1" minValue="0.4" maxValue="1"/>
    </cacheField>
    <cacheField name="26-Feb" numFmtId="0">
      <sharedItems containsString="0" containsBlank="1" containsNumber="1" minValue="0.4" maxValue="1"/>
    </cacheField>
    <cacheField name="26-Mar" numFmtId="0">
      <sharedItems containsString="0" containsBlank="1" containsNumber="1" minValue="0.4" maxValue="1"/>
    </cacheField>
    <cacheField name="26-Apr" numFmtId="0">
      <sharedItems containsString="0" containsBlank="1" containsNumber="1" minValue="0.4" maxValue="1"/>
    </cacheField>
    <cacheField name="26-May" numFmtId="0">
      <sharedItems containsString="0" containsBlank="1" containsNumber="1" minValue="0.4" maxValue="1"/>
    </cacheField>
    <cacheField name="26-Jun" numFmtId="0">
      <sharedItems containsString="0" containsBlank="1" containsNumber="1" minValue="0.4" maxValue="1"/>
    </cacheField>
    <cacheField name="26-Jul" numFmtId="0">
      <sharedItems containsString="0" containsBlank="1" containsNumber="1" minValue="0.4" maxValue="1"/>
    </cacheField>
    <cacheField name="26-Aug" numFmtId="0">
      <sharedItems containsString="0" containsBlank="1" containsNumber="1" minValue="0.4" maxValue="1"/>
    </cacheField>
    <cacheField name="26-Sep" numFmtId="0">
      <sharedItems containsString="0" containsBlank="1" containsNumber="1" minValue="0.4" maxValue="1"/>
    </cacheField>
    <cacheField name="26-Oct" numFmtId="0">
      <sharedItems containsString="0" containsBlank="1" containsNumber="1" minValue="0.4" maxValue="1"/>
    </cacheField>
    <cacheField name="26-Nov" numFmtId="0">
      <sharedItems containsString="0" containsBlank="1" containsNumber="1" minValue="0.4" maxValue="1"/>
    </cacheField>
    <cacheField name="26-Dec" numFmtId="0">
      <sharedItems containsString="0" containsBlank="1" containsNumber="1" minValue="0.4" maxValue="1"/>
    </cacheField>
    <cacheField name="27-Jan" numFmtId="0">
      <sharedItems containsString="0" containsBlank="1" containsNumber="1" minValue="0.4" maxValue="1"/>
    </cacheField>
    <cacheField name="27-Feb" numFmtId="0">
      <sharedItems containsString="0" containsBlank="1" containsNumber="1" minValue="0.4" maxValue="1"/>
    </cacheField>
    <cacheField name="27-Mar" numFmtId="0">
      <sharedItems containsString="0" containsBlank="1" containsNumber="1" minValue="0.4" maxValue="1"/>
    </cacheField>
    <cacheField name="27-Apr" numFmtId="0">
      <sharedItems containsString="0" containsBlank="1" containsNumber="1" minValue="0.4" maxValue="1"/>
    </cacheField>
    <cacheField name="27-May" numFmtId="0">
      <sharedItems containsString="0" containsBlank="1" containsNumber="1" minValue="0.4" maxValue="1"/>
    </cacheField>
    <cacheField name="27-Jun" numFmtId="0">
      <sharedItems containsString="0" containsBlank="1" containsNumber="1" minValue="0.4" maxValue="1"/>
    </cacheField>
    <cacheField name="27-Jul" numFmtId="0">
      <sharedItems containsString="0" containsBlank="1" containsNumber="1" minValue="0.4" maxValue="1"/>
    </cacheField>
    <cacheField name="27-Aug" numFmtId="0">
      <sharedItems containsString="0" containsBlank="1" containsNumber="1" minValue="0.4" maxValue="1"/>
    </cacheField>
    <cacheField name="27-Sep" numFmtId="0">
      <sharedItems containsString="0" containsBlank="1" containsNumber="1" minValue="0.4" maxValue="1"/>
    </cacheField>
    <cacheField name="27-Oct" numFmtId="0">
      <sharedItems containsString="0" containsBlank="1" containsNumber="1" minValue="0.4" maxValue="1"/>
    </cacheField>
    <cacheField name="27-Nov" numFmtId="0">
      <sharedItems containsString="0" containsBlank="1" containsNumber="1" minValue="0.4" maxValue="1"/>
    </cacheField>
    <cacheField name="27-Dec" numFmtId="0">
      <sharedItems containsString="0" containsBlank="1" containsNumber="1" minValue="0.4" maxValue="1"/>
    </cacheField>
    <cacheField name="28-Jan" numFmtId="0">
      <sharedItems containsString="0" containsBlank="1" containsNumber="1" minValue="0.4" maxValue="1"/>
    </cacheField>
    <cacheField name="28-Feb" numFmtId="0">
      <sharedItems containsString="0" containsBlank="1" containsNumber="1" minValue="0.4" maxValue="1"/>
    </cacheField>
    <cacheField name="28-Mar" numFmtId="0">
      <sharedItems containsString="0" containsBlank="1" containsNumber="1" minValue="0.4" maxValue="1"/>
    </cacheField>
    <cacheField name="28-Apr" numFmtId="0">
      <sharedItems containsString="0" containsBlank="1" containsNumber="1" minValue="0.4" maxValue="1"/>
    </cacheField>
    <cacheField name="28-May" numFmtId="0">
      <sharedItems containsString="0" containsBlank="1" containsNumber="1" minValue="0.4" maxValue="1"/>
    </cacheField>
    <cacheField name="28-Jun" numFmtId="0">
      <sharedItems containsString="0" containsBlank="1" containsNumber="1" minValue="0.4" maxValue="1"/>
    </cacheField>
    <cacheField name="28-Jul" numFmtId="0">
      <sharedItems containsString="0" containsBlank="1" containsNumber="1" minValue="0.4" maxValue="1"/>
    </cacheField>
    <cacheField name="28-Aug" numFmtId="0">
      <sharedItems containsString="0" containsBlank="1" containsNumber="1" minValue="0.4" maxValue="1"/>
    </cacheField>
    <cacheField name="28-Sep" numFmtId="0">
      <sharedItems containsString="0" containsBlank="1" containsNumber="1" minValue="0.4" maxValue="1"/>
    </cacheField>
    <cacheField name="28-Oct" numFmtId="0">
      <sharedItems containsString="0" containsBlank="1" containsNumber="1" minValue="0.4" maxValue="1"/>
    </cacheField>
    <cacheField name="28-Nov" numFmtId="0">
      <sharedItems containsString="0" containsBlank="1" containsNumber="1" minValue="0.4" maxValue="1"/>
    </cacheField>
    <cacheField name="28-Dec" numFmtId="0">
      <sharedItems containsString="0" containsBlank="1" containsNumber="1" minValue="0.4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h, Dorothy (MinKyeong)" refreshedDate="46003.575059953706" createdVersion="8" refreshedVersion="8" minRefreshableVersion="3" recordCount="252" xr:uid="{A07DE170-36AE-423A-B337-8F003386B0CF}">
  <cacheSource type="worksheet">
    <worksheetSource ref="A1:BA1048576" sheet="SheetMerge"/>
  </cacheSource>
  <cacheFields count="53">
    <cacheField name="No" numFmtId="0">
      <sharedItems containsString="0" containsBlank="1" containsNumber="1" containsInteger="1" minValue="1" maxValue="32"/>
    </cacheField>
    <cacheField name="Status" numFmtId="0">
      <sharedItems containsBlank="1" containsMixedTypes="1" containsNumber="1" containsInteger="1" minValue="0" maxValue="0" count="7">
        <s v="Active"/>
        <s v="Cancelled"/>
        <s v="potential"/>
        <s v="Plan"/>
        <s v="Complete"/>
        <m/>
        <n v="0" u="1"/>
      </sharedItems>
    </cacheField>
    <cacheField name="PJT Lifecycle" numFmtId="0">
      <sharedItems containsBlank="1" containsMixedTypes="1" containsNumber="1" containsInteger="1" minValue="0" maxValue="0" count="10">
        <s v="Planning"/>
        <s v="Complete"/>
        <s v="Lead"/>
        <s v="Cancelled"/>
        <s v="Active"/>
        <s v="ETO"/>
        <n v="0"/>
        <s v="Opportunty"/>
        <s v="Launched"/>
        <m/>
      </sharedItems>
    </cacheField>
    <cacheField name="Project" numFmtId="0">
      <sharedItems containsBlank="1" count="23">
        <s v="Ganymede support - PCCA"/>
        <s v="R&amp;D General - Legacy/TSG"/>
        <s v="Unify support"/>
        <s v="CatOX Alpha design"/>
        <s v="Hermes"/>
        <s v="LPLN TOP 150 support"/>
        <s v="Micron A&amp;D"/>
        <s v="Tumalo Ph2"/>
        <s v="Gen3 EUV Zenith Plus 7SRC TSMC"/>
        <s v="Havasu"/>
        <s v="Tumalo Ph1"/>
        <s v="HRS Integrates"/>
        <s v="HRS 9N Upgarde"/>
        <s v="CatOX"/>
        <s v="Kanara"/>
        <s v="HRS"/>
        <s v="EUV Zenith Plus"/>
        <s v="Carl Zeiss"/>
        <m/>
        <s v="Kanara Ph1" u="1"/>
        <s v="EUV Gen3 plus 7SRC TFT" u="1"/>
        <s v="Potential" u="1"/>
        <s v="Hemes" u="1"/>
      </sharedItems>
    </cacheField>
    <cacheField name="Resource Department" numFmtId="0">
      <sharedItems containsBlank="1" containsMixedTypes="1" containsNumber="1" containsInteger="1" minValue="0" maxValue="0" count="7">
        <s v="NPI IS"/>
        <s v="Control Eng."/>
        <s v="PMO"/>
        <s v="Engineering"/>
        <n v="0"/>
        <s v=""/>
        <m/>
      </sharedItems>
    </cacheField>
    <cacheField name="Sub-Team" numFmtId="0">
      <sharedItems containsBlank="1" containsMixedTypes="1" containsNumber="1" containsInteger="1" minValue="0" maxValue="0" count="12">
        <s v="System □"/>
        <s v="Software"/>
        <s v="System 1"/>
        <s v="Mechanical"/>
        <s v="System 3"/>
        <s v="* Manager"/>
        <s v="PM"/>
        <s v="System 2"/>
        <s v="Electrical"/>
        <n v="0"/>
        <s v=""/>
        <m/>
      </sharedItems>
    </cacheField>
    <cacheField name="Resource Role" numFmtId="0">
      <sharedItems containsBlank="1" containsMixedTypes="1" containsNumber="1" containsInteger="1" minValue="0" maxValue="0" count="15">
        <s v="System engineer"/>
        <s v="Software engineer"/>
        <s v="SW test engineer"/>
        <s v="Leader"/>
        <s v="Technician"/>
        <s v="Mechanical engineer"/>
        <s v="Tech Lead"/>
        <s v="Service engineer"/>
        <s v="* Manager"/>
        <s v="PM"/>
        <s v="* Eng Manager"/>
        <s v="Electrical engineer"/>
        <n v="0"/>
        <s v=""/>
        <m/>
      </sharedItems>
    </cacheField>
    <cacheField name="Name" numFmtId="0">
      <sharedItems containsBlank="1" containsMixedTypes="1" containsNumber="1" containsInteger="1" minValue="0" maxValue="0" count="64">
        <s v="System engineer"/>
        <s v="Ashley Yun"/>
        <s v="Rachel Bae"/>
        <s v="Amelia An"/>
        <s v="Roy Choi"/>
        <s v="Gerald Park"/>
        <s v="Robin Park"/>
        <s v="Jiny Park"/>
        <s v="Moonsu Cho"/>
        <s v="Grace Ji"/>
        <s v="Ricky Kim"/>
        <s v="Chan Hwang"/>
        <s v="Jinney Lee"/>
        <s v="Eugene Lee"/>
        <s v="Dorothy Noh"/>
        <s v="Jeremy Park"/>
        <s v="Derek Cho"/>
        <s v="Jayden Lee"/>
        <s v="Chad Seo"/>
        <s v="Emma Kim"/>
        <s v="Jess Kim"/>
        <s v="Tred Park"/>
        <s v="Stella Lim"/>
        <s v="Sophie Kim"/>
        <s v="JiYoung Son"/>
        <s v="Mogen Seo"/>
        <s v="Joshua Im"/>
        <s v="Dean Choi"/>
        <s v="Software engineer"/>
        <s v="Chloe Jeong"/>
        <s v="Kevin Ko"/>
        <s v="Gate Plan"/>
        <s v="Evan Lee"/>
        <s v="Jacob Lee"/>
        <s v="William Lee"/>
        <s v="Harry Kwak"/>
        <s v="Noah Yeom"/>
        <s v="Alyssa Park "/>
        <s v="Anders You"/>
        <s v="Fred Lee"/>
        <s v="Allie Park"/>
        <s v="Wayne Jo"/>
        <s v="Jayce Park"/>
        <s v="Ethan Jung"/>
        <s v="Dave Kim"/>
        <s v="Owen Rim"/>
        <s v="May Kwon"/>
        <s v="Julia Mun"/>
        <s v="Andy Jang"/>
        <s v="Michael Kim"/>
        <s v="Judy Lee"/>
        <s v="Sooyoung Song"/>
        <s v="Electrical engineer"/>
        <s v="Yuro Lee"/>
        <s v="Evan Yu"/>
        <s v="Esther Jeong"/>
        <s v="SW test engineer"/>
        <s v="Mechanical engineer"/>
        <s v="Hana Lee"/>
        <s v="Project manager"/>
        <s v="Tech Lead"/>
        <s v="Service engineer"/>
        <n v="0"/>
        <m/>
      </sharedItems>
    </cacheField>
    <cacheField name="G5" numFmtId="166">
      <sharedItems containsNonDate="0" containsDate="1" containsString="0" containsBlank="1" minDate="1899-12-30T00:00:00" maxDate="2027-07-31T00:00:00"/>
    </cacheField>
    <cacheField name="G6" numFmtId="166">
      <sharedItems containsNonDate="0" containsDate="1" containsString="0" containsBlank="1" minDate="1899-12-30T00:00:00" maxDate="2027-12-28T00:00:00"/>
    </cacheField>
    <cacheField name="25-Jun" numFmtId="0">
      <sharedItems containsBlank="1" containsMixedTypes="1" containsNumber="1" minValue="0" maxValue="1"/>
    </cacheField>
    <cacheField name="25-Jul" numFmtId="0">
      <sharedItems containsBlank="1" containsMixedTypes="1" containsNumber="1" minValue="0" maxValue="1"/>
    </cacheField>
    <cacheField name="25-Aug" numFmtId="0">
      <sharedItems containsBlank="1" containsMixedTypes="1" containsNumber="1" minValue="0" maxValue="1"/>
    </cacheField>
    <cacheField name="25-Sep" numFmtId="0">
      <sharedItems containsBlank="1" containsMixedTypes="1" containsNumber="1" minValue="0" maxValue="1"/>
    </cacheField>
    <cacheField name="25-Oct" numFmtId="0">
      <sharedItems containsBlank="1" containsMixedTypes="1" containsNumber="1" minValue="0" maxValue="1"/>
    </cacheField>
    <cacheField name="25-Nov" numFmtId="0">
      <sharedItems containsString="0" containsBlank="1" containsNumber="1" minValue="0" maxValue="1.5"/>
    </cacheField>
    <cacheField name="25-Dec" numFmtId="0">
      <sharedItems containsBlank="1" containsMixedTypes="1" containsNumber="1" minValue="0" maxValue="1.5"/>
    </cacheField>
    <cacheField name="26-Jan" numFmtId="0">
      <sharedItems containsBlank="1" containsMixedTypes="1" containsNumber="1" minValue="0" maxValue="2"/>
    </cacheField>
    <cacheField name="26-Feb" numFmtId="0">
      <sharedItems containsBlank="1" containsMixedTypes="1" containsNumber="1" minValue="0" maxValue="2"/>
    </cacheField>
    <cacheField name="26-Mar" numFmtId="0">
      <sharedItems containsBlank="1" containsMixedTypes="1" containsNumber="1" minValue="0" maxValue="2"/>
    </cacheField>
    <cacheField name="26-Apr" numFmtId="0">
      <sharedItems containsString="0" containsBlank="1" containsNumber="1" minValue="0" maxValue="2"/>
    </cacheField>
    <cacheField name="26-May" numFmtId="0">
      <sharedItems containsString="0" containsBlank="1" containsNumber="1" minValue="0" maxValue="2"/>
    </cacheField>
    <cacheField name="26-Jun" numFmtId="0">
      <sharedItems containsString="0" containsBlank="1" containsNumber="1" minValue="0" maxValue="2"/>
    </cacheField>
    <cacheField name="26-Jul" numFmtId="0">
      <sharedItems containsBlank="1" containsMixedTypes="1" containsNumber="1" minValue="0" maxValue="2"/>
    </cacheField>
    <cacheField name="26-Aug" numFmtId="0">
      <sharedItems containsBlank="1" containsMixedTypes="1" containsNumber="1" minValue="0" maxValue="2"/>
    </cacheField>
    <cacheField name="26-Sep" numFmtId="0">
      <sharedItems containsString="0" containsBlank="1" containsNumber="1" minValue="0" maxValue="2"/>
    </cacheField>
    <cacheField name="26-Oct" numFmtId="0">
      <sharedItems containsBlank="1" containsMixedTypes="1" containsNumber="1" minValue="0" maxValue="2"/>
    </cacheField>
    <cacheField name="26-Nov" numFmtId="0">
      <sharedItems containsBlank="1" containsMixedTypes="1" containsNumber="1" minValue="0" maxValue="2"/>
    </cacheField>
    <cacheField name="26-Dec" numFmtId="0">
      <sharedItems containsBlank="1" containsMixedTypes="1" containsNumber="1" minValue="0" maxValue="2"/>
    </cacheField>
    <cacheField name="27-Jan" numFmtId="0">
      <sharedItems containsBlank="1" containsMixedTypes="1" containsNumber="1" minValue="0" maxValue="2"/>
    </cacheField>
    <cacheField name="27-Feb" numFmtId="0">
      <sharedItems containsString="0" containsBlank="1" containsNumber="1" minValue="0" maxValue="2"/>
    </cacheField>
    <cacheField name="27-Mar" numFmtId="0">
      <sharedItems containsBlank="1" containsMixedTypes="1" containsNumber="1" minValue="0" maxValue="2" count="10">
        <n v="0"/>
        <n v="0.5"/>
        <n v="0.3"/>
        <n v="0.1"/>
        <n v="0.2"/>
        <n v="1"/>
        <s v="G6"/>
        <s v="G3/G4"/>
        <n v="2"/>
        <m/>
      </sharedItems>
    </cacheField>
    <cacheField name="27-Apr" numFmtId="0">
      <sharedItems containsBlank="1" containsMixedTypes="1" containsNumber="1" minValue="0" maxValue="2" count="10">
        <n v="0"/>
        <n v="0.5"/>
        <n v="0.3"/>
        <n v="0.1"/>
        <n v="0.2"/>
        <n v="1"/>
        <s v="G5"/>
        <s v="G3"/>
        <n v="2"/>
        <m/>
      </sharedItems>
    </cacheField>
    <cacheField name="27-May" numFmtId="0">
      <sharedItems containsString="0" containsBlank="1" containsNumber="1" minValue="0" maxValue="2"/>
    </cacheField>
    <cacheField name="27-Jun" numFmtId="0">
      <sharedItems containsString="0" containsBlank="1" containsNumber="1" minValue="0" maxValue="2"/>
    </cacheField>
    <cacheField name="27-Jul" numFmtId="0">
      <sharedItems containsBlank="1" containsMixedTypes="1" containsNumber="1" minValue="0" maxValue="2" count="10">
        <n v="0"/>
        <n v="0.5"/>
        <n v="0.3"/>
        <n v="0.1"/>
        <n v="0.2"/>
        <n v="1"/>
        <s v="Update"/>
        <n v="2"/>
        <s v="G6"/>
        <m/>
      </sharedItems>
    </cacheField>
    <cacheField name="27-Aug" numFmtId="0">
      <sharedItems containsBlank="1" containsMixedTypes="1" containsNumber="1" minValue="0" maxValue="2" count="9">
        <n v="0"/>
        <n v="0.5"/>
        <n v="0.3"/>
        <n v="0.1"/>
        <n v="0.2"/>
        <n v="1"/>
        <s v="G5"/>
        <n v="2"/>
        <m/>
      </sharedItems>
    </cacheField>
    <cacheField name="27-Sep" numFmtId="0">
      <sharedItems containsBlank="1" containsMixedTypes="1" containsNumber="1" minValue="0" maxValue="2" count="10">
        <n v="0"/>
        <n v="0.5"/>
        <n v="0.3"/>
        <n v="0.1"/>
        <n v="0.2"/>
        <n v="1"/>
        <s v="G6"/>
        <s v="G4"/>
        <n v="2"/>
        <m/>
      </sharedItems>
    </cacheField>
    <cacheField name="27-Oct" numFmtId="0">
      <sharedItems containsString="0" containsBlank="1" containsNumber="1" minValue="0" maxValue="2"/>
    </cacheField>
    <cacheField name="27-Nov" numFmtId="0">
      <sharedItems containsString="0" containsBlank="1" containsNumber="1" minValue="0" maxValue="1"/>
    </cacheField>
    <cacheField name="27-Dec" numFmtId="0">
      <sharedItems containsBlank="1" containsMixedTypes="1" containsNumber="1" minValue="0" maxValue="1"/>
    </cacheField>
    <cacheField name="28-Jan" numFmtId="0">
      <sharedItems containsBlank="1" containsMixedTypes="1" containsNumber="1" minValue="0" maxValue="1"/>
    </cacheField>
    <cacheField name="28-Feb" numFmtId="0">
      <sharedItems containsString="0" containsBlank="1" containsNumber="1" minValue="0" maxValue="1"/>
    </cacheField>
    <cacheField name="28-Mar" numFmtId="0">
      <sharedItems containsBlank="1" containsMixedTypes="1" containsNumber="1" minValue="0" maxValue="1"/>
    </cacheField>
    <cacheField name="28-Apr" numFmtId="0">
      <sharedItems containsString="0" containsBlank="1" containsNumber="1" minValue="0" maxValue="1"/>
    </cacheField>
    <cacheField name="28-May" numFmtId="0">
      <sharedItems containsString="0" containsBlank="1" containsNumber="1" minValue="0" maxValue="1"/>
    </cacheField>
    <cacheField name="28-Jun" numFmtId="0">
      <sharedItems containsString="0" containsBlank="1" containsNumber="1" minValue="0" maxValue="1"/>
    </cacheField>
    <cacheField name="28-Jul" numFmtId="0">
      <sharedItems containsString="0" containsBlank="1" containsNumber="1" minValue="0" maxValue="1"/>
    </cacheField>
    <cacheField name="28-Aug" numFmtId="0">
      <sharedItems containsString="0" containsBlank="1" containsNumber="1" minValue="0" maxValue="1"/>
    </cacheField>
    <cacheField name="28-Sep" numFmtId="0">
      <sharedItems containsBlank="1" containsMixedTypes="1" containsNumber="1" containsInteger="1" minValue="0" maxValue="0"/>
    </cacheField>
    <cacheField name="28-Oct" numFmtId="0">
      <sharedItems containsString="0" containsBlank="1" containsNumber="1" containsInteger="1" minValue="0" maxValue="0"/>
    </cacheField>
    <cacheField name="28-Nov" numFmtId="0">
      <sharedItems containsString="0" containsBlank="1" containsNumber="1" containsInteger="1" minValue="0" maxValue="0"/>
    </cacheField>
    <cacheField name="28-Dec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1"/>
    <m/>
    <s v="정원"/>
    <s v="JiYoung Son"/>
    <x v="0"/>
    <s v="* Manager"/>
    <x v="0"/>
    <m/>
    <m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  <n v="0.4"/>
  </r>
  <r>
    <n v="2"/>
    <m/>
    <s v="정원"/>
    <s v="Jinney Lee"/>
    <x v="1"/>
    <s v="* Manager"/>
    <x v="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"/>
    <m/>
    <s v="정원"/>
    <s v="Eugene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"/>
    <m/>
    <s v="정원"/>
    <s v="Evan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"/>
    <m/>
    <s v="정원"/>
    <s v="Yuro Lee"/>
    <x v="1"/>
    <s v="PM"/>
    <x v="2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6"/>
    <m/>
    <s v="정원"/>
    <s v="Dorothy Noh"/>
    <x v="2"/>
    <s v="* Manager"/>
    <x v="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7"/>
    <m/>
    <s v="정원"/>
    <s v="Michael Kim"/>
    <x v="2"/>
    <s v="System 1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8"/>
    <m/>
    <s v="정원"/>
    <s v="Anders You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9"/>
    <m/>
    <s v="정원"/>
    <s v="Robin Park"/>
    <x v="2"/>
    <s v="System 1"/>
    <x v="5"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"/>
    <m/>
    <s v="정원"/>
    <s v="Ricky Kim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"/>
    <m/>
    <s v="정원"/>
    <s v="Chloe Jeong"/>
    <x v="2"/>
    <s v="System 1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2"/>
    <m/>
    <s v="정원"/>
    <s v="Judy Lee"/>
    <x v="2"/>
    <s v="System 1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3"/>
    <m/>
    <s v="정원"/>
    <s v="Chan Hwang"/>
    <x v="2"/>
    <s v="System 1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4"/>
    <m/>
    <s v="정원"/>
    <s v="Jacob Lee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5"/>
    <m/>
    <s v="정원"/>
    <s v="Grace Ji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6"/>
    <m/>
    <s v="정원"/>
    <s v="Noah Yeom"/>
    <x v="2"/>
    <s v="System 3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7"/>
    <m/>
    <s v="정원"/>
    <s v="Tred Park"/>
    <x v="2"/>
    <s v="System 3"/>
    <x v="4"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8"/>
    <m/>
    <s v="정원"/>
    <s v="William Lee"/>
    <x v="2"/>
    <s v="System 3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9"/>
    <m/>
    <s v="정원"/>
    <s v="Alyssa Park "/>
    <x v="2"/>
    <s v="System 3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0"/>
    <m/>
    <s v="정원"/>
    <s v="Fred Lee"/>
    <x v="2"/>
    <s v="System 3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1"/>
    <m/>
    <s v="정원"/>
    <s v="Chad Seo"/>
    <x v="2"/>
    <s v="System 2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2"/>
    <m/>
    <s v="정원"/>
    <s v="Jess Kim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3"/>
    <m/>
    <s v="정원"/>
    <s v="Kevin Ko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4"/>
    <m/>
    <s v="정원"/>
    <s v="Emma Kim"/>
    <x v="2"/>
    <s v="System 2"/>
    <x v="3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5"/>
    <m/>
    <s v="정원"/>
    <s v="Harry Kwak"/>
    <x v="2"/>
    <s v="System 2"/>
    <x v="4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6"/>
    <m/>
    <s v="정원"/>
    <s v="Stella Lim"/>
    <x v="2"/>
    <s v="System 2"/>
    <x v="4"/>
    <m/>
    <m/>
    <n v="1"/>
    <n v="1"/>
    <n v="1"/>
    <n v="1"/>
    <n v="1"/>
    <n v="1"/>
    <n v="1"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7"/>
    <m/>
    <s v="정원"/>
    <s v="Sophie Kim"/>
    <x v="2"/>
    <s v="System 2"/>
    <x v="6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8"/>
    <m/>
    <s v="정원"/>
    <s v="Jeremy Park"/>
    <x v="2"/>
    <s v="Mechanical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9"/>
    <m/>
    <s v="정원"/>
    <s v="Allie Park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0"/>
    <m/>
    <s v="정원"/>
    <s v="Wayne Jo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1"/>
    <m/>
    <s v="정원"/>
    <s v="Jiny Park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"/>
    <m/>
    <s v="정원"/>
    <s v="Evan Yu"/>
    <x v="2"/>
    <s v="Mechanical"/>
    <x v="8"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"/>
    <m/>
    <s v="정원"/>
    <s v="Jayce Park"/>
    <x v="2"/>
    <s v="Mechanical"/>
    <x v="8"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"/>
    <m/>
    <s v="정원"/>
    <s v="Esther Jeong"/>
    <x v="2"/>
    <s v="Mechanical"/>
    <x v="8"/>
    <m/>
    <m/>
    <n v="1"/>
    <n v="1"/>
    <n v="1"/>
    <n v="1"/>
    <n v="1"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"/>
    <m/>
    <s v="정원"/>
    <s v="Sooyoung Song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"/>
    <m/>
    <s v="정원"/>
    <s v="Derek Cho"/>
    <x v="2"/>
    <s v="Mechanical"/>
    <x v="8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7"/>
    <m/>
    <s v="정원"/>
    <s v="Jayden Lee"/>
    <x v="2"/>
    <s v="Mechanical"/>
    <x v="8"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8"/>
    <m/>
    <s v="정원"/>
    <s v="Mogen Seo"/>
    <x v="3"/>
    <s v="* Manager"/>
    <x v="1"/>
    <m/>
    <m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</r>
  <r>
    <n v="39"/>
    <m/>
    <s v="정원"/>
    <s v="Gerald Park"/>
    <x v="3"/>
    <s v="Software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0"/>
    <m/>
    <s v="정원"/>
    <s v="Ashley Yun"/>
    <x v="3"/>
    <s v="Software"/>
    <x v="9"/>
    <m/>
    <m/>
    <n v="1"/>
    <n v="1"/>
    <n v="1"/>
    <n v="1"/>
    <n v="1"/>
    <m/>
    <m/>
    <m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1"/>
    <m/>
    <s v="정원"/>
    <s v="Ethan Jung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2"/>
    <m/>
    <s v="정원"/>
    <s v="Rachel Bae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3"/>
    <m/>
    <s v="정원"/>
    <s v="Dave Kim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4"/>
    <m/>
    <s v="정원"/>
    <s v="Moonsu Cho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5"/>
    <m/>
    <s v="정원"/>
    <s v="Amelia An"/>
    <x v="3"/>
    <s v="Software"/>
    <x v="10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6"/>
    <m/>
    <s v="정원"/>
    <s v="Owen Rim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7"/>
    <m/>
    <s v="정원"/>
    <s v="Roy Choi"/>
    <x v="3"/>
    <s v="Software"/>
    <x v="9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8"/>
    <m/>
    <s v="정원"/>
    <s v="Joshua Im"/>
    <x v="3"/>
    <s v="Electrical"/>
    <x v="7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49"/>
    <m/>
    <s v="정원"/>
    <s v="Andy Jang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0"/>
    <m/>
    <s v="정원"/>
    <s v="May Kwon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1"/>
    <m/>
    <s v="정원"/>
    <s v="Dean Choi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2"/>
    <m/>
    <s v="정원"/>
    <s v="Hana Lee"/>
    <x v="3"/>
    <s v="Electrical"/>
    <x v="11"/>
    <m/>
    <m/>
    <m/>
    <m/>
    <m/>
    <m/>
    <m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3"/>
    <m/>
    <s v="정원"/>
    <s v="Julia Mun"/>
    <x v="3"/>
    <s v="Electrical"/>
    <x v="11"/>
    <m/>
    <m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초안용 범례 (검은선 위쪽에 정원 등록 요망, 행 삽입/삭제 가능)"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Gate plan"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Project Manager"/>
    <x v="1"/>
    <s v="PM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Tech Lead"/>
    <x v="2"/>
    <s v="System □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ystem engineer"/>
    <x v="2"/>
    <s v="System □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ervice engineer"/>
    <x v="2"/>
    <s v="System □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Mechanical engineer"/>
    <x v="2"/>
    <s v="Mechanical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oftware engineer"/>
    <x v="3"/>
    <s v="Software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SW test engineer"/>
    <x v="3"/>
    <s v="Software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s v="Electrical engineer"/>
    <x v="3"/>
    <s v="Electrical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4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n v="1"/>
    <x v="0"/>
    <x v="0"/>
    <x v="0"/>
    <x v="0"/>
    <x v="0"/>
    <x v="0"/>
    <x v="0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1"/>
    <x v="1"/>
    <x v="1"/>
    <x v="1"/>
    <x v="1"/>
    <x v="1"/>
    <d v="1899-12-30T00:00:00"/>
    <d v="1899-12-30T00:00:00"/>
    <n v="0"/>
    <n v="0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x v="1"/>
    <n v="0.5"/>
    <n v="0.5"/>
    <x v="1"/>
    <x v="1"/>
    <x v="1"/>
    <n v="0.5"/>
    <n v="0.5"/>
    <n v="0.5"/>
    <n v="0.5"/>
    <n v="0.5"/>
    <n v="0.5"/>
    <n v="0.5"/>
    <n v="0.5"/>
    <n v="0.5"/>
    <n v="0.5"/>
    <n v="0"/>
    <n v="0"/>
    <n v="0"/>
    <n v="0"/>
    <n v="0"/>
  </r>
  <r>
    <n v="3"/>
    <x v="0"/>
    <x v="1"/>
    <x v="1"/>
    <x v="1"/>
    <x v="1"/>
    <x v="1"/>
    <x v="2"/>
    <d v="1899-12-30T00:00:00"/>
    <d v="1899-12-30T00:00:00"/>
    <n v="1"/>
    <n v="1"/>
    <n v="1"/>
    <n v="1"/>
    <n v="0.5"/>
    <n v="0.5"/>
    <n v="0.5"/>
    <n v="0.5"/>
    <n v="0.5"/>
    <n v="0.5"/>
    <n v="0.5"/>
    <n v="0.5"/>
    <n v="1"/>
    <n v="1"/>
    <n v="1"/>
    <n v="1"/>
    <n v="1"/>
    <n v="1"/>
    <n v="1"/>
    <n v="1"/>
    <n v="1"/>
    <x v="1"/>
    <x v="1"/>
    <n v="0.5"/>
    <n v="0.5"/>
    <x v="1"/>
    <x v="1"/>
    <x v="1"/>
    <n v="0.5"/>
    <n v="0.5"/>
    <n v="0.5"/>
    <n v="0.5"/>
    <n v="0.5"/>
    <n v="0.5"/>
    <n v="0.5"/>
    <n v="0.5"/>
    <n v="0.5"/>
    <n v="0.5"/>
    <n v="0"/>
    <n v="0"/>
    <n v="0"/>
    <n v="0"/>
    <n v="0"/>
  </r>
  <r>
    <n v="4"/>
    <x v="0"/>
    <x v="1"/>
    <x v="1"/>
    <x v="1"/>
    <x v="1"/>
    <x v="2"/>
    <x v="3"/>
    <d v="1899-12-30T00:00:00"/>
    <d v="1899-12-30T00:00:00"/>
    <n v="1"/>
    <n v="1"/>
    <n v="0.9"/>
    <n v="0.7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x v="1"/>
    <x v="1"/>
    <n v="0.5"/>
    <n v="0.5"/>
    <x v="1"/>
    <x v="1"/>
    <x v="1"/>
    <n v="0.5"/>
    <n v="0.5"/>
    <n v="0.5"/>
    <n v="0.5"/>
    <n v="0.5"/>
    <n v="0.5"/>
    <n v="0.5"/>
    <n v="0.5"/>
    <n v="0.5"/>
    <n v="0.5"/>
    <n v="0"/>
    <n v="0"/>
    <n v="0"/>
    <n v="0"/>
    <n v="0"/>
  </r>
  <r>
    <n v="5"/>
    <x v="0"/>
    <x v="1"/>
    <x v="1"/>
    <x v="1"/>
    <x v="1"/>
    <x v="1"/>
    <x v="4"/>
    <d v="1899-12-30T00:00:00"/>
    <d v="1899-12-30T00:00:00"/>
    <n v="0.5"/>
    <n v="0.5"/>
    <n v="0.5"/>
    <n v="0.5"/>
    <n v="0.5"/>
    <n v="1"/>
    <n v="1"/>
    <n v="1"/>
    <n v="1"/>
    <n v="1"/>
    <n v="1"/>
    <n v="1"/>
    <n v="0.5"/>
    <n v="0.5"/>
    <n v="0.5"/>
    <n v="0.5"/>
    <n v="0.5"/>
    <n v="0.5"/>
    <n v="0.5"/>
    <n v="0.5"/>
    <n v="0.5"/>
    <x v="1"/>
    <x v="1"/>
    <n v="0.5"/>
    <n v="0.5"/>
    <x v="1"/>
    <x v="1"/>
    <x v="1"/>
    <n v="0.5"/>
    <n v="0.5"/>
    <n v="0.5"/>
    <n v="0.5"/>
    <n v="0.5"/>
    <n v="0.5"/>
    <n v="0.5"/>
    <n v="0.5"/>
    <n v="0.5"/>
    <n v="0.5"/>
    <n v="0"/>
    <n v="0"/>
    <n v="0"/>
    <n v="0"/>
    <n v="0"/>
  </r>
  <r>
    <n v="6"/>
    <x v="0"/>
    <x v="0"/>
    <x v="2"/>
    <x v="1"/>
    <x v="1"/>
    <x v="3"/>
    <x v="5"/>
    <d v="1899-12-30T00:00:00"/>
    <d v="1899-12-30T00:00:00"/>
    <n v="0.3"/>
    <n v="0.3"/>
    <n v="0.3"/>
    <n v="0.3"/>
    <n v="0.5"/>
    <n v="0.5"/>
    <n v="0.5"/>
    <n v="0.5"/>
    <n v="0.5"/>
    <n v="0.5"/>
    <n v="0.5"/>
    <n v="0.5"/>
    <n v="0.3"/>
    <n v="0.3"/>
    <n v="0.3"/>
    <n v="0.3"/>
    <n v="0.3"/>
    <n v="0.3"/>
    <n v="0.3"/>
    <n v="0.3"/>
    <n v="0.3"/>
    <x v="2"/>
    <x v="2"/>
    <n v="0.3"/>
    <n v="0.3"/>
    <x v="2"/>
    <x v="2"/>
    <x v="2"/>
    <n v="0.3"/>
    <n v="0.3"/>
    <n v="0.3"/>
    <n v="0.3"/>
    <n v="0.3"/>
    <n v="0.3"/>
    <n v="0.3"/>
    <n v="0.3"/>
    <n v="0.3"/>
    <n v="0.3"/>
    <n v="0"/>
    <n v="0"/>
    <n v="0"/>
    <n v="0"/>
    <n v="0"/>
  </r>
  <r>
    <n v="7"/>
    <x v="0"/>
    <x v="0"/>
    <x v="2"/>
    <x v="1"/>
    <x v="1"/>
    <x v="1"/>
    <x v="2"/>
    <d v="1899-12-30T00:00:00"/>
    <d v="1899-12-30T00:00:00"/>
    <n v="0"/>
    <n v="0"/>
    <n v="0"/>
    <n v="0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0"/>
    <x v="2"/>
    <x v="1"/>
    <x v="1"/>
    <x v="2"/>
    <x v="3"/>
    <d v="1899-12-30T00:00:00"/>
    <d v="1899-12-30T00:00:00"/>
    <n v="0"/>
    <n v="0"/>
    <n v="0.1"/>
    <n v="0.3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n v="0.5"/>
    <x v="1"/>
    <x v="1"/>
    <n v="0.5"/>
    <n v="0.5"/>
    <x v="1"/>
    <x v="1"/>
    <x v="1"/>
    <n v="0.5"/>
    <n v="0.5"/>
    <n v="0.5"/>
    <n v="0.5"/>
    <n v="0.5"/>
    <n v="0.5"/>
    <n v="0.5"/>
    <n v="0.5"/>
    <n v="0.5"/>
    <n v="0.5"/>
    <n v="0"/>
    <n v="0"/>
    <n v="0"/>
    <n v="0"/>
    <n v="0"/>
  </r>
  <r>
    <n v="9"/>
    <x v="0"/>
    <x v="1"/>
    <x v="1"/>
    <x v="0"/>
    <x v="2"/>
    <x v="4"/>
    <x v="6"/>
    <d v="1899-12-30T00:00:00"/>
    <d v="1899-12-30T00:00:00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2"/>
    <x v="3"/>
    <x v="0"/>
    <x v="3"/>
    <x v="5"/>
    <x v="7"/>
    <d v="1899-12-30T00:00:00"/>
    <d v="1899-12-30T00:00:00"/>
    <n v="0"/>
    <n v="1"/>
    <n v="1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3"/>
    <x v="4"/>
    <x v="1"/>
    <x v="1"/>
    <x v="1"/>
    <x v="4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1"/>
    <x v="3"/>
    <x v="4"/>
    <x v="1"/>
    <x v="1"/>
    <x v="2"/>
    <x v="8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5"/>
    <x v="0"/>
    <x v="4"/>
    <x v="6"/>
    <x v="9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5"/>
    <x v="0"/>
    <x v="2"/>
    <x v="0"/>
    <x v="10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5"/>
    <x v="0"/>
    <x v="2"/>
    <x v="7"/>
    <x v="11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4"/>
    <x v="6"/>
    <x v="2"/>
    <x v="5"/>
    <x v="8"/>
    <x v="12"/>
    <d v="2025-03-26T00:00:00"/>
    <d v="2025-03-26T00:00:00"/>
    <n v="0.2"/>
    <n v="0.2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4"/>
    <x v="6"/>
    <x v="2"/>
    <x v="6"/>
    <x v="9"/>
    <x v="13"/>
    <d v="2025-03-26T00:00:00"/>
    <d v="2025-03-26T00:00:00"/>
    <n v="0.9"/>
    <n v="0.9"/>
    <n v="0.9"/>
    <n v="0.9"/>
    <n v="0.9"/>
    <n v="0.1"/>
    <n v="0.9"/>
    <n v="0.9"/>
    <n v="0.9"/>
    <n v="0.9"/>
    <n v="0.9"/>
    <n v="0.9"/>
    <n v="0.9"/>
    <n v="0.9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4"/>
    <x v="6"/>
    <x v="0"/>
    <x v="5"/>
    <x v="8"/>
    <x v="14"/>
    <d v="2025-03-26T00:00:00"/>
    <d v="2025-03-26T00:00:00"/>
    <n v="0.2"/>
    <n v="0.2"/>
    <n v="0.2"/>
    <n v="0.1"/>
    <n v="0.1"/>
    <n v="0.1"/>
    <n v="0.1"/>
    <n v="0.2"/>
    <n v="0.2"/>
    <n v="0.2"/>
    <n v="0.2"/>
    <n v="0.2"/>
    <n v="0.2"/>
    <n v="0.2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6"/>
    <x v="0"/>
    <x v="3"/>
    <x v="3"/>
    <x v="15"/>
    <d v="2025-03-26T00:00:00"/>
    <d v="2025-03-26T00:00:00"/>
    <n v="0.2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6"/>
    <x v="0"/>
    <x v="3"/>
    <x v="5"/>
    <x v="16"/>
    <d v="2025-03-26T00:00:00"/>
    <d v="2025-03-26T00:00:00"/>
    <n v="1"/>
    <n v="1"/>
    <n v="1"/>
    <n v="0.5"/>
    <n v="0"/>
    <n v="0"/>
    <n v="1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6"/>
    <x v="0"/>
    <x v="3"/>
    <x v="5"/>
    <x v="7"/>
    <d v="2025-03-26T00:00:00"/>
    <d v="2025-03-26T00:00:00"/>
    <n v="0.5"/>
    <n v="0"/>
    <n v="0"/>
    <n v="0.5"/>
    <n v="0"/>
    <n v="0"/>
    <n v="0"/>
    <n v="0"/>
    <n v="0.5"/>
    <n v="0.5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6"/>
    <x v="0"/>
    <x v="3"/>
    <x v="5"/>
    <x v="17"/>
    <d v="2025-03-26T00:00:00"/>
    <d v="2025-03-26T00:00:00"/>
    <n v="0"/>
    <n v="0"/>
    <n v="1"/>
    <n v="0.2"/>
    <n v="0"/>
    <n v="0"/>
    <n v="1"/>
    <n v="0.5"/>
    <n v="0.5"/>
    <n v="0.5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6"/>
    <x v="0"/>
    <x v="7"/>
    <x v="6"/>
    <x v="18"/>
    <d v="2025-03-26T00:00:00"/>
    <d v="2025-03-26T00:00:00"/>
    <n v="0.9"/>
    <n v="0.9"/>
    <n v="0.9"/>
    <n v="0"/>
    <n v="0"/>
    <n v="0"/>
    <n v="0.5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6"/>
    <x v="0"/>
    <x v="7"/>
    <x v="6"/>
    <x v="19"/>
    <d v="2025-03-26T00:00:00"/>
    <d v="2025-03-26T00:00:00"/>
    <n v="1"/>
    <n v="1"/>
    <n v="1"/>
    <n v="0.7"/>
    <n v="0.1"/>
    <n v="0.1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6"/>
    <x v="0"/>
    <x v="7"/>
    <x v="0"/>
    <x v="20"/>
    <d v="2025-03-26T00:00:00"/>
    <d v="2025-03-26T00:00:00"/>
    <n v="1"/>
    <n v="1"/>
    <n v="1"/>
    <n v="0.5"/>
    <n v="0.5"/>
    <n v="0.5"/>
    <n v="1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6"/>
    <x v="0"/>
    <x v="4"/>
    <x v="0"/>
    <x v="21"/>
    <d v="2025-03-26T00:00:00"/>
    <d v="2025-03-26T00:00:00"/>
    <n v="1"/>
    <n v="1"/>
    <n v="1"/>
    <n v="0"/>
    <n v="0"/>
    <n v="0"/>
    <n v="0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4"/>
    <x v="6"/>
    <x v="0"/>
    <x v="7"/>
    <x v="0"/>
    <x v="22"/>
    <d v="2025-03-26T00:00:00"/>
    <d v="2025-03-26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6"/>
    <x v="0"/>
    <x v="7"/>
    <x v="7"/>
    <x v="23"/>
    <d v="2025-03-26T00:00:00"/>
    <d v="2025-03-26T00:00:00"/>
    <n v="1"/>
    <n v="1"/>
    <n v="1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6"/>
    <x v="3"/>
    <x v="5"/>
    <x v="10"/>
    <x v="24"/>
    <d v="2025-03-26T00:00:00"/>
    <d v="2025-03-26T00:00:00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6"/>
    <x v="1"/>
    <x v="5"/>
    <x v="8"/>
    <x v="25"/>
    <d v="2025-03-26T00:00:00"/>
    <d v="2025-03-26T00:00:00"/>
    <n v="0.1"/>
    <n v="0.1"/>
    <n v="0.1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6"/>
    <x v="0"/>
    <x v="4"/>
    <x v="6"/>
    <x v="1"/>
    <x v="8"/>
    <x v="3"/>
    <x v="26"/>
    <d v="2025-03-26T00:00:00"/>
    <d v="2025-03-26T00:00:00"/>
    <n v="0.3"/>
    <n v="0.3"/>
    <n v="0.3"/>
    <n v="0"/>
    <n v="0"/>
    <n v="0"/>
    <n v="0.3"/>
    <n v="0.3"/>
    <n v="0.3"/>
    <n v="0.3"/>
    <n v="0.3"/>
    <n v="0.3"/>
    <n v="0.3"/>
    <n v="0.3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7"/>
    <x v="0"/>
    <x v="4"/>
    <x v="6"/>
    <x v="1"/>
    <x v="8"/>
    <x v="11"/>
    <x v="27"/>
    <d v="2025-03-26T00:00:00"/>
    <d v="2025-03-26T00:00:00"/>
    <n v="1"/>
    <n v="1"/>
    <n v="1"/>
    <n v="0"/>
    <n v="0"/>
    <n v="0"/>
    <n v="1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8"/>
    <x v="0"/>
    <x v="4"/>
    <x v="6"/>
    <x v="1"/>
    <x v="1"/>
    <x v="3"/>
    <x v="5"/>
    <d v="2025-03-26T00:00:00"/>
    <d v="2025-03-26T00:00:00"/>
    <n v="0.3"/>
    <n v="0.3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9"/>
    <x v="0"/>
    <x v="4"/>
    <x v="6"/>
    <x v="1"/>
    <x v="1"/>
    <x v="1"/>
    <x v="28"/>
    <d v="2025-03-26T00:00:00"/>
    <d v="2025-03-26T00:00:00"/>
    <n v="1"/>
    <n v="1"/>
    <n v="0.5"/>
    <n v="0.5"/>
    <n v="0.5"/>
    <n v="0.2"/>
    <n v="0.2"/>
    <n v="0.2"/>
    <n v="0.2"/>
    <n v="0.2"/>
    <n v="0.2"/>
    <n v="0.2"/>
    <n v="0.2"/>
    <n v="0.2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0"/>
    <x v="0"/>
    <x v="4"/>
    <x v="6"/>
    <x v="1"/>
    <x v="1"/>
    <x v="2"/>
    <x v="8"/>
    <d v="2025-03-26T00:00:00"/>
    <d v="2025-03-26T00:00:00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1"/>
    <x v="0"/>
    <x v="4"/>
    <x v="6"/>
    <x v="0"/>
    <x v="2"/>
    <x v="0"/>
    <x v="29"/>
    <d v="2025-03-26T00:00:00"/>
    <d v="2025-03-26T00:00:00"/>
    <n v="0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2"/>
    <x v="0"/>
    <x v="4"/>
    <x v="6"/>
    <x v="0"/>
    <x v="7"/>
    <x v="0"/>
    <x v="30"/>
    <d v="2025-03-26T00:00:00"/>
    <d v="2025-03-26T00:00:00"/>
    <n v="0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3"/>
    <x v="0"/>
    <x v="4"/>
    <x v="6"/>
    <x v="4"/>
    <x v="9"/>
    <x v="12"/>
    <x v="31"/>
    <d v="2025-03-26T00:00:00"/>
    <d v="2025-03-26T00:00:00"/>
    <n v="0"/>
    <s v="Update"/>
    <n v="0"/>
    <n v="0"/>
    <n v="0"/>
    <n v="0"/>
    <n v="0"/>
    <n v="0"/>
    <n v="0"/>
    <s v="G5"/>
    <n v="0"/>
    <n v="0"/>
    <n v="0"/>
    <s v="G6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4"/>
    <x v="7"/>
    <x v="3"/>
    <x v="5"/>
    <x v="10"/>
    <x v="24"/>
    <d v="2026-04-01T00:00:00"/>
    <d v="2026-09-28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4"/>
    <x v="7"/>
    <x v="2"/>
    <x v="5"/>
    <x v="8"/>
    <x v="12"/>
    <d v="2026-04-01T00:00:00"/>
    <d v="2026-09-28T00:00:00"/>
    <n v="0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2"/>
    <n v="0.2"/>
    <x v="4"/>
    <x v="4"/>
    <n v="0.1"/>
    <n v="0.1"/>
    <x v="3"/>
    <x v="3"/>
    <x v="3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4"/>
    <x v="7"/>
    <x v="2"/>
    <x v="6"/>
    <x v="9"/>
    <x v="32"/>
    <d v="2026-04-01T00:00:00"/>
    <d v="2026-09-28T00:00:00"/>
    <n v="0"/>
    <n v="0.5"/>
    <n v="0.5"/>
    <n v="0.8"/>
    <n v="0.8"/>
    <n v="1"/>
    <n v="1"/>
    <n v="1"/>
    <n v="1"/>
    <n v="1"/>
    <n v="1"/>
    <n v="1"/>
    <n v="1"/>
    <n v="1"/>
    <n v="1"/>
    <n v="1"/>
    <n v="1"/>
    <n v="1"/>
    <n v="1"/>
    <n v="1"/>
    <n v="1"/>
    <x v="5"/>
    <x v="5"/>
    <n v="0.5"/>
    <n v="0.5"/>
    <x v="1"/>
    <x v="1"/>
    <x v="1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7"/>
    <x v="0"/>
    <x v="5"/>
    <x v="8"/>
    <x v="14"/>
    <d v="2026-04-01T00:00:00"/>
    <d v="2026-09-28T00:00:00"/>
    <n v="0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n v="0.3"/>
    <x v="2"/>
    <x v="2"/>
    <n v="0.2"/>
    <n v="0.2"/>
    <x v="4"/>
    <x v="4"/>
    <x v="4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7"/>
    <x v="0"/>
    <x v="4"/>
    <x v="6"/>
    <x v="33"/>
    <d v="2026-04-01T00:00:00"/>
    <d v="2026-09-28T00:00:00"/>
    <n v="0"/>
    <n v="0"/>
    <n v="0"/>
    <n v="0.4"/>
    <n v="0.4"/>
    <n v="0.4"/>
    <n v="0.4"/>
    <n v="0.4"/>
    <n v="0.4"/>
    <n v="0.5"/>
    <n v="0.5"/>
    <n v="0.5"/>
    <n v="0.5"/>
    <n v="0.5"/>
    <n v="0.5"/>
    <n v="0.5"/>
    <n v="0.5"/>
    <n v="0.5"/>
    <n v="0.5"/>
    <n v="0.5"/>
    <n v="0.5"/>
    <x v="1"/>
    <x v="1"/>
    <n v="0.5"/>
    <n v="0.5"/>
    <x v="1"/>
    <x v="1"/>
    <x v="1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7"/>
    <x v="0"/>
    <x v="4"/>
    <x v="6"/>
    <x v="34"/>
    <d v="2026-04-01T00:00:00"/>
    <d v="2026-09-28T00:00:00"/>
    <n v="0"/>
    <n v="0.9"/>
    <n v="0.9"/>
    <n v="0.9"/>
    <n v="0.9"/>
    <n v="0.9"/>
    <n v="0.9"/>
    <n v="0.9"/>
    <n v="0.9"/>
    <n v="0.9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7"/>
    <x v="0"/>
    <x v="7"/>
    <x v="0"/>
    <x v="35"/>
    <d v="2026-04-01T00:00:00"/>
    <d v="2026-09-28T00:00:00"/>
    <n v="0"/>
    <n v="0"/>
    <n v="0.4"/>
    <n v="0.4"/>
    <n v="0"/>
    <n v="0"/>
    <n v="0.4"/>
    <n v="0.5"/>
    <n v="0.5"/>
    <n v="0.5"/>
    <n v="0.5"/>
    <n v="0.5"/>
    <n v="0.5"/>
    <n v="0.5"/>
    <n v="0.5"/>
    <n v="0.5"/>
    <n v="0.5"/>
    <n v="0.5"/>
    <n v="0.5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7"/>
    <x v="0"/>
    <x v="4"/>
    <x v="0"/>
    <x v="36"/>
    <d v="2026-04-01T00:00:00"/>
    <d v="2026-09-28T00:00:00"/>
    <n v="0"/>
    <n v="0"/>
    <n v="0.4"/>
    <n v="0.4"/>
    <n v="0.4"/>
    <n v="0.4"/>
    <n v="0.4"/>
    <n v="0.4"/>
    <n v="0.4"/>
    <n v="0.4"/>
    <n v="0.4"/>
    <n v="0.4"/>
    <n v="0.4"/>
    <n v="0.4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7"/>
    <x v="0"/>
    <x v="4"/>
    <x v="0"/>
    <x v="37"/>
    <d v="2026-04-01T00:00:00"/>
    <d v="2026-09-28T00:00:00"/>
    <n v="0"/>
    <n v="0"/>
    <n v="0.4"/>
    <n v="0.4"/>
    <n v="0.4"/>
    <n v="0.4"/>
    <n v="0.4"/>
    <n v="0.4"/>
    <n v="0.4"/>
    <n v="0.4"/>
    <n v="0.4"/>
    <n v="0.4"/>
    <n v="0.4"/>
    <n v="0.4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7"/>
    <x v="0"/>
    <x v="2"/>
    <x v="0"/>
    <x v="38"/>
    <d v="2026-04-01T00:00:00"/>
    <d v="2026-09-28T00:00:00"/>
    <n v="0"/>
    <n v="0"/>
    <n v="0"/>
    <n v="0.5"/>
    <n v="0.5"/>
    <n v="0.5"/>
    <n v="0.5"/>
    <n v="0.5"/>
    <n v="0.5"/>
    <n v="0.5"/>
    <n v="0.5"/>
    <n v="0.5"/>
    <n v="0.5"/>
    <n v="0.5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7"/>
    <x v="0"/>
    <x v="4"/>
    <x v="7"/>
    <x v="39"/>
    <d v="2026-04-01T00:00:00"/>
    <d v="2026-09-28T00:00:00"/>
    <n v="0"/>
    <n v="0"/>
    <n v="0.4"/>
    <n v="0.4"/>
    <n v="0.4"/>
    <n v="0.4"/>
    <n v="0.4"/>
    <n v="0.4"/>
    <n v="0.4"/>
    <n v="0.4"/>
    <n v="0.4"/>
    <n v="0.4"/>
    <n v="0.4"/>
    <n v="0.4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4"/>
    <x v="7"/>
    <x v="0"/>
    <x v="2"/>
    <x v="7"/>
    <x v="11"/>
    <d v="2026-04-01T00:00:00"/>
    <d v="2026-09-28T00:00:00"/>
    <n v="0"/>
    <n v="0"/>
    <n v="0.4"/>
    <n v="0.4"/>
    <n v="0.5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7"/>
    <x v="0"/>
    <x v="7"/>
    <x v="0"/>
    <x v="30"/>
    <d v="2026-04-01T00:00:00"/>
    <d v="2026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7"/>
    <x v="0"/>
    <x v="2"/>
    <x v="0"/>
    <x v="29"/>
    <d v="2026-04-01T00:00:00"/>
    <d v="2026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7"/>
    <x v="0"/>
    <x v="2"/>
    <x v="4"/>
    <x v="6"/>
    <d v="2026-04-01T00:00:00"/>
    <d v="2026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6"/>
    <x v="0"/>
    <x v="4"/>
    <x v="7"/>
    <x v="0"/>
    <x v="3"/>
    <x v="3"/>
    <x v="15"/>
    <d v="2026-04-01T00:00:00"/>
    <d v="2026-09-28T00:00:00"/>
    <n v="0"/>
    <n v="0.2"/>
    <n v="0.2"/>
    <n v="0.2"/>
    <n v="0.2"/>
    <n v="0.2"/>
    <n v="0.3"/>
    <n v="0.3"/>
    <n v="0.3"/>
    <n v="0.3"/>
    <n v="0.3"/>
    <n v="0.3"/>
    <n v="0.3"/>
    <n v="0.3"/>
    <n v="0.3"/>
    <n v="0.3"/>
    <n v="0.3"/>
    <n v="0.3"/>
    <n v="0.3"/>
    <n v="0.3"/>
    <n v="0.3"/>
    <x v="2"/>
    <x v="2"/>
    <n v="0.3"/>
    <n v="0.3"/>
    <x v="2"/>
    <x v="2"/>
    <x v="2"/>
    <n v="0"/>
    <n v="0"/>
    <n v="0"/>
    <n v="0"/>
    <n v="0"/>
    <n v="0"/>
    <n v="0"/>
    <n v="0"/>
    <n v="0"/>
    <n v="0"/>
    <n v="0"/>
    <n v="0"/>
    <n v="0"/>
    <n v="0"/>
    <n v="0"/>
  </r>
  <r>
    <n v="17"/>
    <x v="0"/>
    <x v="4"/>
    <x v="7"/>
    <x v="0"/>
    <x v="3"/>
    <x v="5"/>
    <x v="40"/>
    <d v="2026-04-01T00:00:00"/>
    <d v="2026-09-28T00:00:0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18"/>
    <x v="0"/>
    <x v="4"/>
    <x v="7"/>
    <x v="0"/>
    <x v="3"/>
    <x v="5"/>
    <x v="41"/>
    <d v="2026-04-01T00:00:00"/>
    <d v="2026-09-28T00:00:00"/>
    <n v="0"/>
    <n v="0.5"/>
    <n v="0.5"/>
    <n v="0.5"/>
    <n v="0.5"/>
    <n v="0.5"/>
    <n v="0.5"/>
    <n v="0.5"/>
    <n v="0.5"/>
    <n v="0.5"/>
    <n v="0.5"/>
    <n v="0.5"/>
    <n v="0.5"/>
    <n v="0.5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19"/>
    <x v="0"/>
    <x v="4"/>
    <x v="7"/>
    <x v="0"/>
    <x v="3"/>
    <x v="5"/>
    <x v="42"/>
    <d v="2026-04-01T00:00:00"/>
    <d v="2026-09-28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0"/>
    <x v="0"/>
    <x v="4"/>
    <x v="7"/>
    <x v="0"/>
    <x v="3"/>
    <x v="5"/>
    <x v="16"/>
    <d v="2026-04-01T00:00:00"/>
    <d v="2026-09-28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1"/>
    <x v="0"/>
    <x v="4"/>
    <x v="7"/>
    <x v="1"/>
    <x v="5"/>
    <x v="8"/>
    <x v="25"/>
    <d v="2026-04-01T00:00:00"/>
    <d v="2026-09-28T00:00:00"/>
    <n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"/>
    <n v="0"/>
    <n v="0"/>
    <n v="0"/>
    <n v="0"/>
    <n v="0"/>
    <n v="0"/>
    <n v="0"/>
    <n v="0"/>
    <n v="0"/>
    <n v="0"/>
    <n v="0"/>
    <n v="0"/>
    <n v="0"/>
    <n v="0"/>
  </r>
  <r>
    <n v="22"/>
    <x v="0"/>
    <x v="4"/>
    <x v="7"/>
    <x v="1"/>
    <x v="1"/>
    <x v="3"/>
    <x v="5"/>
    <d v="2026-04-01T00:00:00"/>
    <d v="2026-09-28T00:00:00"/>
    <n v="0"/>
    <n v="0"/>
    <n v="0"/>
    <n v="0"/>
    <n v="0"/>
    <n v="0"/>
    <n v="0"/>
    <n v="0.1"/>
    <n v="0.1"/>
    <n v="0.2"/>
    <n v="0.2"/>
    <n v="0.2"/>
    <n v="0.2"/>
    <n v="0.2"/>
    <n v="0.2"/>
    <n v="0.2"/>
    <n v="0.2"/>
    <n v="0.2"/>
    <n v="0.2"/>
    <n v="0.2"/>
    <n v="0.2"/>
    <x v="4"/>
    <x v="4"/>
    <n v="0.2"/>
    <n v="0.2"/>
    <x v="4"/>
    <x v="4"/>
    <x v="4"/>
    <n v="0"/>
    <n v="0"/>
    <n v="0"/>
    <n v="0"/>
    <n v="0"/>
    <n v="0"/>
    <n v="0"/>
    <n v="0"/>
    <n v="0"/>
    <n v="0"/>
    <n v="0"/>
    <n v="0"/>
    <n v="0"/>
    <n v="0"/>
    <n v="0"/>
  </r>
  <r>
    <n v="23"/>
    <x v="0"/>
    <x v="4"/>
    <x v="7"/>
    <x v="1"/>
    <x v="1"/>
    <x v="1"/>
    <x v="43"/>
    <d v="2026-04-01T00:00:00"/>
    <d v="2026-09-28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4"/>
    <x v="0"/>
    <x v="4"/>
    <x v="7"/>
    <x v="1"/>
    <x v="1"/>
    <x v="1"/>
    <x v="4"/>
    <d v="2026-04-01T00:00:00"/>
    <d v="2026-09-28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5"/>
    <x v="0"/>
    <x v="4"/>
    <x v="7"/>
    <x v="1"/>
    <x v="1"/>
    <x v="2"/>
    <x v="44"/>
    <d v="2026-04-01T00:00:00"/>
    <d v="2026-09-28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6"/>
    <x v="0"/>
    <x v="4"/>
    <x v="7"/>
    <x v="1"/>
    <x v="1"/>
    <x v="2"/>
    <x v="8"/>
    <d v="2026-04-01T00:00:00"/>
    <d v="2026-09-28T00:00:0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x v="1"/>
    <x v="1"/>
    <n v="0.5"/>
    <n v="0.5"/>
    <x v="1"/>
    <x v="1"/>
    <x v="1"/>
    <n v="0"/>
    <n v="0"/>
    <n v="0"/>
    <n v="0"/>
    <n v="0"/>
    <n v="0"/>
    <n v="0"/>
    <n v="0"/>
    <n v="0"/>
    <n v="0"/>
    <n v="0"/>
    <n v="0"/>
    <n v="0"/>
    <n v="0"/>
    <n v="0"/>
  </r>
  <r>
    <n v="26"/>
    <x v="0"/>
    <x v="4"/>
    <x v="7"/>
    <x v="1"/>
    <x v="1"/>
    <x v="1"/>
    <x v="45"/>
    <d v="2026-04-01T00:00:00"/>
    <d v="2026-09-28T00:00:0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7"/>
    <x v="0"/>
    <x v="4"/>
    <x v="7"/>
    <x v="1"/>
    <x v="8"/>
    <x v="3"/>
    <x v="26"/>
    <d v="2026-04-01T00:00:00"/>
    <d v="2026-09-28T00:00:00"/>
    <n v="0"/>
    <n v="0.3"/>
    <n v="0.3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n v="0.2"/>
    <x v="4"/>
    <x v="3"/>
    <n v="0.1"/>
    <n v="0.1"/>
    <x v="3"/>
    <x v="3"/>
    <x v="3"/>
    <n v="0"/>
    <n v="0"/>
    <n v="0"/>
    <n v="0"/>
    <n v="0"/>
    <n v="0"/>
    <n v="0"/>
    <n v="0"/>
    <n v="0"/>
    <n v="0"/>
    <n v="0"/>
    <n v="0"/>
    <n v="0"/>
    <n v="0"/>
    <n v="0"/>
  </r>
  <r>
    <n v="28"/>
    <x v="0"/>
    <x v="4"/>
    <x v="7"/>
    <x v="1"/>
    <x v="8"/>
    <x v="11"/>
    <x v="46"/>
    <d v="2026-04-01T00:00:00"/>
    <d v="2026-09-28T00:00:00"/>
    <n v="0"/>
    <n v="0"/>
    <n v="0.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29"/>
    <x v="0"/>
    <x v="4"/>
    <x v="7"/>
    <x v="1"/>
    <x v="8"/>
    <x v="11"/>
    <x v="47"/>
    <d v="2026-04-01T00:00:00"/>
    <d v="2026-09-28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0"/>
    <x v="0"/>
    <x v="4"/>
    <x v="7"/>
    <x v="1"/>
    <x v="8"/>
    <x v="11"/>
    <x v="48"/>
    <d v="2026-04-01T00:00:00"/>
    <d v="2026-09-28T00:00:00"/>
    <n v="0"/>
    <n v="0"/>
    <n v="0"/>
    <n v="0.5"/>
    <n v="0.5"/>
    <n v="0.5"/>
    <n v="0.5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0"/>
    <n v="0"/>
    <n v="0"/>
    <n v="0"/>
    <n v="0"/>
    <n v="0"/>
    <n v="0"/>
    <n v="0"/>
    <n v="0"/>
    <n v="0"/>
    <n v="0"/>
    <n v="0"/>
    <n v="0"/>
    <n v="0"/>
    <n v="0"/>
  </r>
  <r>
    <n v="31"/>
    <x v="0"/>
    <x v="4"/>
    <x v="7"/>
    <x v="4"/>
    <x v="9"/>
    <x v="12"/>
    <x v="31"/>
    <d v="2026-04-01T00:00:00"/>
    <d v="2026-09-28T00:00:00"/>
    <n v="0"/>
    <s v="G2"/>
    <n v="0"/>
    <n v="0"/>
    <n v="0"/>
    <n v="0"/>
    <n v="0"/>
    <s v="G3"/>
    <n v="0"/>
    <n v="0"/>
    <n v="0"/>
    <n v="0"/>
    <n v="0"/>
    <s v="G4"/>
    <n v="0"/>
    <n v="0"/>
    <n v="0"/>
    <n v="0"/>
    <n v="0"/>
    <n v="0"/>
    <n v="0"/>
    <x v="0"/>
    <x v="6"/>
    <n v="0"/>
    <n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5"/>
    <x v="8"/>
    <x v="2"/>
    <x v="5"/>
    <x v="8"/>
    <x v="12"/>
    <d v="1899-12-30T00:00:00"/>
    <d v="1899-12-30T00:00:00"/>
    <n v="0"/>
    <n v="0"/>
    <n v="0.2"/>
    <n v="0.2"/>
    <n v="0.2"/>
    <n v="0.2"/>
    <n v="0.2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5"/>
    <x v="8"/>
    <x v="0"/>
    <x v="7"/>
    <x v="6"/>
    <x v="18"/>
    <d v="1899-12-30T00:00:00"/>
    <d v="1899-12-30T00:00:00"/>
    <n v="0"/>
    <n v="0"/>
    <n v="0"/>
    <n v="1"/>
    <n v="1"/>
    <n v="1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5"/>
    <x v="8"/>
    <x v="0"/>
    <x v="5"/>
    <x v="8"/>
    <x v="14"/>
    <d v="1899-12-30T00:00:00"/>
    <d v="1899-12-30T00:00:00"/>
    <n v="0"/>
    <n v="0"/>
    <n v="0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5"/>
    <x v="8"/>
    <x v="0"/>
    <x v="7"/>
    <x v="0"/>
    <x v="30"/>
    <d v="1899-12-30T00:00:00"/>
    <d v="1899-12-30T00:00:0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5"/>
    <x v="8"/>
    <x v="0"/>
    <x v="7"/>
    <x v="7"/>
    <x v="23"/>
    <d v="1899-12-30T00:00:00"/>
    <d v="1899-12-30T00:00:00"/>
    <n v="0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5"/>
    <x v="8"/>
    <x v="0"/>
    <x v="7"/>
    <x v="0"/>
    <x v="20"/>
    <d v="1899-12-30T00:00:00"/>
    <d v="1899-12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5"/>
    <x v="8"/>
    <x v="0"/>
    <x v="3"/>
    <x v="3"/>
    <x v="15"/>
    <d v="1899-12-30T00:00:00"/>
    <d v="1899-12-30T00:00:00"/>
    <n v="0"/>
    <n v="0"/>
    <n v="0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5"/>
    <x v="8"/>
    <x v="0"/>
    <x v="3"/>
    <x v="5"/>
    <x v="17"/>
    <d v="1899-12-30T00:00:00"/>
    <d v="1899-12-30T00:00:00"/>
    <n v="0"/>
    <n v="0"/>
    <n v="0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5"/>
    <x v="8"/>
    <x v="0"/>
    <x v="3"/>
    <x v="5"/>
    <x v="16"/>
    <d v="1899-12-30T00:00:00"/>
    <d v="1899-12-30T00:00:0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5"/>
    <x v="8"/>
    <x v="1"/>
    <x v="5"/>
    <x v="8"/>
    <x v="25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5"/>
    <x v="8"/>
    <x v="1"/>
    <x v="1"/>
    <x v="3"/>
    <x v="5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5"/>
    <x v="8"/>
    <x v="1"/>
    <x v="1"/>
    <x v="1"/>
    <x v="1"/>
    <d v="1899-12-30T00:00:00"/>
    <d v="1899-12-30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5"/>
    <x v="8"/>
    <x v="1"/>
    <x v="1"/>
    <x v="2"/>
    <x v="8"/>
    <d v="1899-12-30T00:00:00"/>
    <d v="1899-12-30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5"/>
    <x v="8"/>
    <x v="1"/>
    <x v="8"/>
    <x v="3"/>
    <x v="26"/>
    <d v="1899-12-30T00:00:00"/>
    <d v="1899-12-30T00:00:00"/>
    <n v="0"/>
    <n v="0"/>
    <n v="0"/>
    <n v="0.3"/>
    <n v="0.3"/>
    <n v="0.3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6"/>
    <x v="0"/>
    <x v="5"/>
    <x v="8"/>
    <x v="1"/>
    <x v="8"/>
    <x v="11"/>
    <x v="27"/>
    <d v="1899-12-30T00:00:00"/>
    <d v="1899-12-30T00:00:00"/>
    <n v="0"/>
    <n v="0"/>
    <n v="0"/>
    <n v="1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7"/>
    <x v="0"/>
    <x v="5"/>
    <x v="8"/>
    <x v="0"/>
    <x v="4"/>
    <x v="0"/>
    <x v="21"/>
    <d v="1899-12-30T00:00:00"/>
    <d v="1899-12-30T00:00:0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8"/>
    <x v="0"/>
    <x v="5"/>
    <x v="8"/>
    <x v="4"/>
    <x v="9"/>
    <x v="12"/>
    <x v="31"/>
    <d v="1899-12-30T00:00:00"/>
    <d v="1899-12-30T00:00:00"/>
    <n v="0"/>
    <n v="0"/>
    <s v="G2"/>
    <n v="0"/>
    <n v="0"/>
    <n v="0"/>
    <s v="G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4"/>
    <x v="9"/>
    <x v="3"/>
    <x v="5"/>
    <x v="10"/>
    <x v="24"/>
    <d v="2025-06-25T00:00:00"/>
    <d v="2025-12-22T00:00:00"/>
    <n v="0.2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4"/>
    <x v="9"/>
    <x v="2"/>
    <x v="5"/>
    <x v="8"/>
    <x v="12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4"/>
    <x v="9"/>
    <x v="2"/>
    <x v="6"/>
    <x v="9"/>
    <x v="32"/>
    <d v="2025-06-25T00:00:00"/>
    <d v="2025-12-22T00:00:00"/>
    <n v="1"/>
    <n v="1"/>
    <n v="0.5"/>
    <n v="0.2"/>
    <n v="0.2"/>
    <n v="0.2"/>
    <n v="0.1"/>
    <n v="0.2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9"/>
    <x v="0"/>
    <x v="5"/>
    <x v="8"/>
    <x v="14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9"/>
    <x v="0"/>
    <x v="2"/>
    <x v="6"/>
    <x v="49"/>
    <d v="2025-06-25T00:00:00"/>
    <d v="2025-12-22T00:00:00"/>
    <n v="1"/>
    <n v="1"/>
    <n v="1"/>
    <n v="0.5"/>
    <n v="0.5"/>
    <n v="0.7"/>
    <n v="1"/>
    <n v="0.5"/>
    <n v="0.2"/>
    <n v="0.2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9"/>
    <x v="0"/>
    <x v="2"/>
    <x v="0"/>
    <x v="10"/>
    <d v="2025-06-25T00:00:00"/>
    <d v="2025-12-22T00:00:00"/>
    <n v="1"/>
    <n v="1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9"/>
    <x v="0"/>
    <x v="2"/>
    <x v="0"/>
    <x v="38"/>
    <d v="2025-06-25T00:00:00"/>
    <d v="2025-12-22T00:00: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9"/>
    <x v="0"/>
    <x v="2"/>
    <x v="0"/>
    <x v="29"/>
    <d v="2025-06-25T00:00:00"/>
    <d v="2025-12-22T00:00:00"/>
    <n v="1"/>
    <n v="1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9"/>
    <x v="0"/>
    <x v="2"/>
    <x v="7"/>
    <x v="50"/>
    <d v="2025-06-25T00:00:00"/>
    <d v="2025-12-22T00:00:00"/>
    <n v="1"/>
    <n v="1"/>
    <n v="1"/>
    <n v="0.5"/>
    <n v="0.5"/>
    <n v="0.7"/>
    <n v="1"/>
    <n v="0.5"/>
    <n v="0.2"/>
    <n v="0.2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9"/>
    <x v="0"/>
    <x v="3"/>
    <x v="3"/>
    <x v="15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9"/>
    <x v="0"/>
    <x v="3"/>
    <x v="5"/>
    <x v="51"/>
    <d v="2025-06-25T00:00:00"/>
    <d v="2025-12-22T00:00: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9"/>
    <x v="1"/>
    <x v="5"/>
    <x v="8"/>
    <x v="25"/>
    <d v="2025-06-25T00:00:00"/>
    <d v="2025-12-22T00:00:00"/>
    <n v="0.2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9"/>
    <x v="1"/>
    <x v="1"/>
    <x v="3"/>
    <x v="5"/>
    <d v="2025-06-25T00:00:00"/>
    <d v="2025-12-22T00:00:00"/>
    <n v="0.3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9"/>
    <x v="1"/>
    <x v="1"/>
    <x v="1"/>
    <x v="4"/>
    <d v="2025-06-25T00:00:00"/>
    <d v="2025-12-22T00:00:00"/>
    <n v="1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6"/>
    <x v="0"/>
    <x v="4"/>
    <x v="9"/>
    <x v="1"/>
    <x v="1"/>
    <x v="2"/>
    <x v="8"/>
    <d v="2025-06-25T00:00:00"/>
    <d v="2025-12-22T00:00:0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7"/>
    <x v="0"/>
    <x v="4"/>
    <x v="9"/>
    <x v="1"/>
    <x v="8"/>
    <x v="3"/>
    <x v="26"/>
    <d v="2025-06-25T00:00:00"/>
    <d v="2025-12-22T00:00:00"/>
    <n v="0.4"/>
    <n v="0.1"/>
    <n v="0.1"/>
    <n v="0.1"/>
    <n v="0.1"/>
    <n v="0.1"/>
    <n v="0.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8"/>
    <x v="0"/>
    <x v="4"/>
    <x v="9"/>
    <x v="1"/>
    <x v="8"/>
    <x v="11"/>
    <x v="48"/>
    <d v="2025-06-25T00:00:00"/>
    <d v="2025-12-22T00:00:00"/>
    <n v="1"/>
    <n v="1"/>
    <n v="1"/>
    <n v="0.5"/>
    <n v="0"/>
    <n v="0"/>
    <n v="0.5"/>
    <n v="0.3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9"/>
    <x v="0"/>
    <x v="4"/>
    <x v="9"/>
    <x v="1"/>
    <x v="8"/>
    <x v="11"/>
    <x v="52"/>
    <d v="2025-06-25T00:00:00"/>
    <d v="2025-12-22T00:00:00"/>
    <n v="0"/>
    <n v="0"/>
    <n v="0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0"/>
    <x v="0"/>
    <x v="4"/>
    <x v="9"/>
    <x v="4"/>
    <x v="9"/>
    <x v="12"/>
    <x v="31"/>
    <d v="2025-06-25T00:00:00"/>
    <d v="2025-12-22T00:00:00"/>
    <s v="G5"/>
    <n v="0"/>
    <n v="0"/>
    <n v="0"/>
    <n v="0"/>
    <n v="0"/>
    <s v="G6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6"/>
    <x v="10"/>
    <x v="3"/>
    <x v="5"/>
    <x v="10"/>
    <x v="24"/>
    <d v="2026-02-01T00:00:00"/>
    <d v="2026-08-30T00:00:00"/>
    <n v="0.2"/>
    <n v="0.2"/>
    <n v="0.2"/>
    <n v="0.2"/>
    <n v="0.2"/>
    <n v="0.2"/>
    <n v="0.2"/>
    <n v="0.2"/>
    <n v="0.2"/>
    <n v="0.2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6"/>
    <x v="10"/>
    <x v="2"/>
    <x v="5"/>
    <x v="8"/>
    <x v="12"/>
    <d v="2026-02-01T00:00:00"/>
    <d v="2026-08-30T00:00:00"/>
    <n v="0.2"/>
    <n v="0.3"/>
    <n v="0.3"/>
    <n v="0.3"/>
    <n v="0.3"/>
    <n v="0.3"/>
    <n v="0.3"/>
    <n v="0.3"/>
    <n v="0.3"/>
    <n v="0.2"/>
    <n v="0.2"/>
    <n v="0.2"/>
    <n v="0.2"/>
    <n v="0.2"/>
    <n v="0.2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6"/>
    <x v="10"/>
    <x v="2"/>
    <x v="6"/>
    <x v="9"/>
    <x v="53"/>
    <d v="2026-02-01T00:00:00"/>
    <d v="2026-08-30T00:00:00"/>
    <n v="1"/>
    <n v="1"/>
    <n v="1"/>
    <n v="1"/>
    <n v="1"/>
    <n v="1"/>
    <n v="1"/>
    <n v="0.5"/>
    <n v="0.5"/>
    <n v="0.5"/>
    <n v="0.5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10"/>
    <x v="0"/>
    <x v="5"/>
    <x v="8"/>
    <x v="14"/>
    <d v="2026-02-01T00:00:00"/>
    <d v="2026-08-30T00:00:00"/>
    <n v="0.2"/>
    <n v="0.3"/>
    <n v="0.3"/>
    <n v="0.3"/>
    <n v="0.3"/>
    <n v="0.3"/>
    <n v="0.2"/>
    <n v="0.3"/>
    <n v="0.3"/>
    <n v="0.2"/>
    <n v="0.2"/>
    <n v="0.2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10"/>
    <x v="0"/>
    <x v="4"/>
    <x v="6"/>
    <x v="33"/>
    <d v="2026-02-01T00:00:00"/>
    <d v="2026-08-30T00:00:00"/>
    <n v="1"/>
    <n v="1"/>
    <n v="1"/>
    <n v="0.6"/>
    <n v="0.6"/>
    <n v="0.6"/>
    <n v="0.6"/>
    <n v="0.6"/>
    <n v="0.6"/>
    <n v="0.5"/>
    <n v="0.5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10"/>
    <x v="0"/>
    <x v="4"/>
    <x v="6"/>
    <x v="9"/>
    <d v="2026-02-01T00:00:00"/>
    <d v="2026-08-30T00:00:00"/>
    <n v="1"/>
    <n v="1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10"/>
    <x v="0"/>
    <x v="7"/>
    <x v="0"/>
    <x v="35"/>
    <d v="2026-02-01T00:00:00"/>
    <d v="2026-08-30T00:00:00"/>
    <n v="1"/>
    <n v="1"/>
    <n v="0.6"/>
    <n v="0.6"/>
    <n v="0.5"/>
    <n v="0.5"/>
    <n v="0.6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10"/>
    <x v="0"/>
    <x v="4"/>
    <x v="0"/>
    <x v="37"/>
    <d v="2026-02-01T00:00:00"/>
    <d v="2026-08-30T00:00:00"/>
    <n v="1"/>
    <n v="1"/>
    <n v="0.6"/>
    <n v="0.6"/>
    <n v="0.6"/>
    <n v="0.6"/>
    <n v="0.6"/>
    <n v="0.6"/>
    <n v="0.6"/>
    <n v="0.6"/>
    <n v="0.6"/>
    <n v="0.6"/>
    <n v="0.6"/>
    <n v="0.6"/>
    <n v="0.6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10"/>
    <x v="0"/>
    <x v="4"/>
    <x v="0"/>
    <x v="36"/>
    <d v="2026-02-01T00:00:00"/>
    <d v="2026-08-30T00:00:00"/>
    <n v="1"/>
    <n v="1"/>
    <n v="0.6"/>
    <n v="0.6"/>
    <n v="0.6"/>
    <n v="0.6"/>
    <n v="0.6"/>
    <n v="0.6"/>
    <n v="0.6"/>
    <n v="0.6"/>
    <n v="0.6"/>
    <n v="0.6"/>
    <n v="0.6"/>
    <n v="0.6"/>
    <n v="0.6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10"/>
    <x v="0"/>
    <x v="2"/>
    <x v="0"/>
    <x v="38"/>
    <d v="2026-02-01T00:00:00"/>
    <d v="2026-08-30T00:00:00"/>
    <n v="0"/>
    <n v="0"/>
    <n v="0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10"/>
    <x v="0"/>
    <x v="4"/>
    <x v="7"/>
    <x v="39"/>
    <d v="2026-02-01T00:00:00"/>
    <d v="2026-08-30T00:00:00"/>
    <n v="1"/>
    <n v="1"/>
    <n v="0.6"/>
    <n v="0.6"/>
    <n v="0.6"/>
    <n v="0.6"/>
    <n v="0.6"/>
    <n v="0.6"/>
    <n v="0.6"/>
    <n v="0.6"/>
    <n v="0.6"/>
    <n v="0.6"/>
    <n v="0.6"/>
    <n v="0.6"/>
    <n v="0.6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4"/>
    <x v="10"/>
    <x v="0"/>
    <x v="2"/>
    <x v="7"/>
    <x v="11"/>
    <d v="2026-02-01T00:00:00"/>
    <d v="2026-08-30T00:00:00"/>
    <n v="1"/>
    <n v="1"/>
    <n v="0.6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10"/>
    <x v="0"/>
    <x v="2"/>
    <x v="4"/>
    <x v="6"/>
    <d v="2026-02-01T00:00:00"/>
    <d v="2026-08-30T00:00:00"/>
    <n v="0.8"/>
    <n v="0.8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10"/>
    <x v="0"/>
    <x v="3"/>
    <x v="3"/>
    <x v="15"/>
    <d v="2026-02-01T00:00:00"/>
    <d v="2026-08-30T00:00:00"/>
    <n v="0.3"/>
    <n v="0.3"/>
    <n v="0.5"/>
    <n v="0.3"/>
    <n v="0.3"/>
    <n v="0.3"/>
    <n v="0.3"/>
    <n v="0.1"/>
    <n v="0.1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10"/>
    <x v="0"/>
    <x v="3"/>
    <x v="5"/>
    <x v="54"/>
    <d v="2026-02-01T00:00:00"/>
    <d v="2026-08-30T00:00: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6"/>
    <x v="0"/>
    <x v="4"/>
    <x v="10"/>
    <x v="0"/>
    <x v="3"/>
    <x v="5"/>
    <x v="41"/>
    <d v="2026-02-01T00:00:00"/>
    <d v="2026-08-30T00:00:00"/>
    <n v="0.5"/>
    <n v="0.5"/>
    <n v="1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7"/>
    <x v="0"/>
    <x v="4"/>
    <x v="10"/>
    <x v="0"/>
    <x v="3"/>
    <x v="5"/>
    <x v="55"/>
    <d v="2026-02-01T00:00:00"/>
    <d v="2026-08-30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8"/>
    <x v="0"/>
    <x v="4"/>
    <x v="10"/>
    <x v="1"/>
    <x v="5"/>
    <x v="8"/>
    <x v="25"/>
    <d v="2026-02-01T00:00:00"/>
    <d v="2026-08-30T00:00:00"/>
    <n v="0.2"/>
    <n v="0.2"/>
    <n v="0.2"/>
    <n v="0.2"/>
    <n v="0.2"/>
    <n v="0.2"/>
    <n v="0.2"/>
    <n v="0.2"/>
    <n v="0.2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9"/>
    <x v="0"/>
    <x v="4"/>
    <x v="10"/>
    <x v="1"/>
    <x v="1"/>
    <x v="3"/>
    <x v="5"/>
    <d v="2026-02-01T00:00:00"/>
    <d v="2026-08-30T00:00:00"/>
    <n v="0.3"/>
    <n v="0.3"/>
    <n v="0.2"/>
    <n v="0.2"/>
    <n v="0.2"/>
    <n v="0.2"/>
    <n v="0.2"/>
    <n v="0.2"/>
    <n v="0.2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0"/>
    <x v="0"/>
    <x v="4"/>
    <x v="10"/>
    <x v="1"/>
    <x v="1"/>
    <x v="1"/>
    <x v="43"/>
    <d v="2026-02-01T00:00:00"/>
    <d v="2026-08-30T00:00: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1"/>
    <x v="0"/>
    <x v="4"/>
    <x v="10"/>
    <x v="1"/>
    <x v="1"/>
    <x v="1"/>
    <x v="4"/>
    <d v="2026-02-01T00:00:00"/>
    <d v="2026-08-30T00:00:00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2"/>
    <x v="0"/>
    <x v="4"/>
    <x v="10"/>
    <x v="1"/>
    <x v="1"/>
    <x v="1"/>
    <x v="1"/>
    <d v="2026-02-01T00:00:00"/>
    <d v="2026-08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3"/>
    <x v="0"/>
    <x v="4"/>
    <x v="10"/>
    <x v="1"/>
    <x v="1"/>
    <x v="1"/>
    <x v="2"/>
    <d v="2026-02-01T00:00:00"/>
    <d v="2026-08-30T00:00:00"/>
    <n v="0.5"/>
    <n v="0.5"/>
    <n v="0.5"/>
    <n v="0.5"/>
    <n v="0.5"/>
    <n v="0.5"/>
    <n v="0.5"/>
    <n v="0.5"/>
    <n v="0.5"/>
    <n v="0.5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4"/>
    <x v="0"/>
    <x v="4"/>
    <x v="10"/>
    <x v="1"/>
    <x v="1"/>
    <x v="2"/>
    <x v="44"/>
    <d v="2026-02-01T00:00:00"/>
    <d v="2026-08-30T00:00: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5"/>
    <x v="0"/>
    <x v="4"/>
    <x v="10"/>
    <x v="1"/>
    <x v="1"/>
    <x v="2"/>
    <x v="8"/>
    <d v="2026-02-01T00:00:00"/>
    <d v="2026-08-30T00:00:00"/>
    <n v="0"/>
    <n v="0"/>
    <n v="0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6"/>
    <x v="0"/>
    <x v="4"/>
    <x v="10"/>
    <x v="1"/>
    <x v="1"/>
    <x v="2"/>
    <x v="3"/>
    <d v="2026-02-01T00:00:00"/>
    <d v="2026-08-30T00:00:00"/>
    <n v="0"/>
    <n v="0.5"/>
    <n v="0.5"/>
    <n v="0.5"/>
    <n v="0.5"/>
    <n v="0.5"/>
    <n v="0.5"/>
    <n v="0.5"/>
    <n v="0.5"/>
    <n v="0.5"/>
    <n v="0.5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8"/>
    <x v="0"/>
    <x v="4"/>
    <x v="10"/>
    <x v="1"/>
    <x v="8"/>
    <x v="3"/>
    <x v="26"/>
    <d v="2026-02-01T00:00:00"/>
    <d v="2026-08-30T00:00:00"/>
    <n v="0.3"/>
    <n v="0.3"/>
    <n v="0.3"/>
    <n v="0.2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9"/>
    <x v="0"/>
    <x v="4"/>
    <x v="10"/>
    <x v="1"/>
    <x v="8"/>
    <x v="11"/>
    <x v="46"/>
    <d v="2026-02-01T00:00:00"/>
    <d v="2026-08-30T00:00:00"/>
    <n v="1"/>
    <n v="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0"/>
    <x v="0"/>
    <x v="4"/>
    <x v="10"/>
    <x v="1"/>
    <x v="8"/>
    <x v="11"/>
    <x v="47"/>
    <d v="2026-02-01T00:00:00"/>
    <d v="2026-08-30T00:00: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1"/>
    <x v="0"/>
    <x v="4"/>
    <x v="10"/>
    <x v="1"/>
    <x v="8"/>
    <x v="11"/>
    <x v="48"/>
    <d v="2026-02-01T00:00:00"/>
    <d v="2026-08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2"/>
    <x v="0"/>
    <x v="4"/>
    <x v="10"/>
    <x v="4"/>
    <x v="9"/>
    <x v="12"/>
    <x v="31"/>
    <d v="2026-02-01T00:00:00"/>
    <d v="2026-08-30T00:00:00"/>
    <n v="0"/>
    <n v="0"/>
    <s v="G4"/>
    <n v="0"/>
    <n v="0"/>
    <n v="0"/>
    <n v="0"/>
    <n v="0"/>
    <s v="G5"/>
    <n v="0"/>
    <n v="0"/>
    <n v="0"/>
    <n v="0"/>
    <n v="0"/>
    <s v="G6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0"/>
    <x v="4"/>
    <x v="11"/>
    <x v="2"/>
    <x v="5"/>
    <x v="8"/>
    <x v="12"/>
    <d v="2026-03-30T00:00:00"/>
    <d v="2026-03-30T00:00:00"/>
    <n v="0.1"/>
    <n v="0.1"/>
    <n v="0.1"/>
    <n v="0.1"/>
    <n v="0.1"/>
    <n v="0.1"/>
    <n v="0.3"/>
    <n v="0.1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0"/>
    <x v="4"/>
    <x v="11"/>
    <x v="2"/>
    <x v="6"/>
    <x v="9"/>
    <x v="13"/>
    <d v="2026-03-30T00:00:00"/>
    <d v="2026-03-30T00:00:00"/>
    <n v="0.1"/>
    <n v="0.1"/>
    <n v="0.1"/>
    <n v="0.1"/>
    <n v="0.1"/>
    <n v="0.9"/>
    <n v="0.1"/>
    <n v="0.1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0"/>
    <x v="4"/>
    <x v="11"/>
    <x v="0"/>
    <x v="5"/>
    <x v="8"/>
    <x v="14"/>
    <d v="2026-03-30T00:00:00"/>
    <d v="2026-03-30T00:00:00"/>
    <n v="0.1"/>
    <n v="0.1"/>
    <n v="0.1"/>
    <n v="0.1"/>
    <n v="0.1"/>
    <n v="0.1"/>
    <n v="0.3"/>
    <n v="0.1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11"/>
    <x v="0"/>
    <x v="7"/>
    <x v="6"/>
    <x v="18"/>
    <d v="2026-03-30T00:00:00"/>
    <d v="2026-03-30T00:00:00"/>
    <n v="0.1"/>
    <n v="0.1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11"/>
    <x v="0"/>
    <x v="4"/>
    <x v="6"/>
    <x v="34"/>
    <d v="2026-03-30T00:00:00"/>
    <d v="2026-03-30T00:00:00"/>
    <n v="0.1"/>
    <n v="0.1"/>
    <n v="0.1"/>
    <n v="0.1"/>
    <n v="0.1"/>
    <n v="0.1"/>
    <n v="0.1"/>
    <n v="0.1"/>
    <n v="0.1"/>
    <n v="0.1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11"/>
    <x v="0"/>
    <x v="7"/>
    <x v="6"/>
    <x v="19"/>
    <d v="2026-03-30T00:00:00"/>
    <d v="2026-03-30T00:00:00"/>
    <n v="0"/>
    <n v="0"/>
    <n v="0"/>
    <n v="0.3"/>
    <n v="0.9"/>
    <n v="0.9"/>
    <n v="0.5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11"/>
    <x v="0"/>
    <x v="7"/>
    <x v="7"/>
    <x v="23"/>
    <d v="2026-03-30T00:00:00"/>
    <d v="2026-03-30T00:00:00"/>
    <n v="0"/>
    <n v="0"/>
    <n v="0"/>
    <n v="0.3"/>
    <n v="1"/>
    <n v="0.5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11"/>
    <x v="0"/>
    <x v="7"/>
    <x v="0"/>
    <x v="30"/>
    <d v="1899-12-30T00:00:00"/>
    <d v="1899-12-30T00:00:00"/>
    <n v="0"/>
    <n v="0"/>
    <n v="0"/>
    <n v="0"/>
    <n v="1"/>
    <n v="0.5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11"/>
    <x v="0"/>
    <x v="3"/>
    <x v="5"/>
    <x v="17"/>
    <d v="2026-03-30T00:00:00"/>
    <d v="2026-03-30T00:00:00"/>
    <n v="0"/>
    <n v="0"/>
    <n v="0"/>
    <n v="0.3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11"/>
    <x v="0"/>
    <x v="3"/>
    <x v="5"/>
    <x v="51"/>
    <d v="2026-03-30T00:00:00"/>
    <d v="2026-03-30T00:00:0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11"/>
    <x v="1"/>
    <x v="8"/>
    <x v="11"/>
    <x v="27"/>
    <d v="2026-03-30T00:00:00"/>
    <d v="2026-03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0"/>
    <x v="4"/>
    <x v="11"/>
    <x v="1"/>
    <x v="1"/>
    <x v="2"/>
    <x v="8"/>
    <d v="2026-03-30T00:00:00"/>
    <d v="2026-03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11"/>
    <x v="0"/>
    <x v="7"/>
    <x v="0"/>
    <x v="35"/>
    <d v="1899-12-30T00:00:00"/>
    <d v="1899-12-30T00:00:00"/>
    <n v="0"/>
    <n v="0"/>
    <n v="0"/>
    <n v="0"/>
    <n v="0.5"/>
    <n v="0.5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11"/>
    <x v="4"/>
    <x v="9"/>
    <x v="12"/>
    <x v="31"/>
    <d v="2026-03-30T00:00:00"/>
    <d v="2026-03-30T00:00:00"/>
    <s v="G2"/>
    <n v="0"/>
    <n v="0"/>
    <n v="0"/>
    <n v="0"/>
    <n v="0"/>
    <n v="0"/>
    <n v="0"/>
    <n v="0"/>
    <s v="G5"/>
    <n v="0"/>
    <n v="0"/>
    <n v="0"/>
    <n v="0"/>
    <n v="0"/>
    <n v="0"/>
    <n v="0"/>
    <s v="G5"/>
    <n v="0"/>
    <n v="0"/>
    <n v="0"/>
    <x v="6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2"/>
    <x v="7"/>
    <x v="12"/>
    <x v="2"/>
    <x v="5"/>
    <x v="8"/>
    <x v="12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x v="3"/>
    <x v="3"/>
    <n v="0.2"/>
    <n v="0.2"/>
    <x v="4"/>
    <x v="4"/>
    <x v="4"/>
    <n v="0.2"/>
    <n v="0.2"/>
    <n v="0.2"/>
    <n v="0"/>
    <n v="0"/>
    <n v="0"/>
    <n v="0"/>
    <n v="0"/>
    <n v="0"/>
    <n v="0"/>
    <n v="0"/>
    <n v="0"/>
    <n v="0"/>
    <n v="0"/>
    <n v="0"/>
  </r>
  <r>
    <n v="2"/>
    <x v="2"/>
    <x v="7"/>
    <x v="12"/>
    <x v="2"/>
    <x v="6"/>
    <x v="9"/>
    <x v="13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x v="1"/>
    <x v="5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3"/>
    <x v="2"/>
    <x v="7"/>
    <x v="12"/>
    <x v="0"/>
    <x v="5"/>
    <x v="8"/>
    <x v="14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x v="3"/>
    <x v="3"/>
    <n v="0.2"/>
    <n v="0.2"/>
    <x v="4"/>
    <x v="4"/>
    <x v="4"/>
    <n v="0.2"/>
    <n v="0.2"/>
    <n v="0.2"/>
    <n v="0"/>
    <n v="0"/>
    <n v="0"/>
    <n v="0"/>
    <n v="0"/>
    <n v="0"/>
    <n v="0"/>
    <n v="0"/>
    <n v="0"/>
    <n v="0"/>
    <n v="0"/>
    <n v="0"/>
  </r>
  <r>
    <n v="4"/>
    <x v="2"/>
    <x v="7"/>
    <x v="12"/>
    <x v="0"/>
    <x v="7"/>
    <x v="6"/>
    <x v="18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"/>
    <x v="5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5"/>
    <x v="2"/>
    <x v="7"/>
    <x v="12"/>
    <x v="0"/>
    <x v="7"/>
    <x v="0"/>
    <x v="20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x v="5"/>
    <x v="5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6"/>
    <x v="2"/>
    <x v="7"/>
    <x v="12"/>
    <x v="0"/>
    <x v="2"/>
    <x v="7"/>
    <x v="50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x v="5"/>
    <x v="5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7"/>
    <x v="2"/>
    <x v="7"/>
    <x v="12"/>
    <x v="0"/>
    <x v="3"/>
    <x v="3"/>
    <x v="15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x v="3"/>
    <x v="3"/>
    <n v="0.3"/>
    <n v="0.3"/>
    <x v="4"/>
    <x v="4"/>
    <x v="4"/>
    <n v="0.2"/>
    <n v="0.2"/>
    <n v="0.2"/>
    <n v="0"/>
    <n v="0"/>
    <n v="0"/>
    <n v="0"/>
    <n v="0"/>
    <n v="0"/>
    <n v="0"/>
    <n v="0"/>
    <n v="0"/>
    <n v="0"/>
    <n v="0"/>
    <n v="0"/>
  </r>
  <r>
    <n v="8"/>
    <x v="2"/>
    <x v="7"/>
    <x v="12"/>
    <x v="0"/>
    <x v="3"/>
    <x v="5"/>
    <x v="1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x v="1"/>
    <x v="1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9"/>
    <x v="2"/>
    <x v="7"/>
    <x v="12"/>
    <x v="1"/>
    <x v="5"/>
    <x v="8"/>
    <x v="25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x v="3"/>
    <x v="3"/>
    <n v="0.1"/>
    <n v="0.1"/>
    <x v="3"/>
    <x v="3"/>
    <x v="3"/>
    <n v="0.1"/>
    <n v="0.1"/>
    <n v="0.1"/>
    <n v="0"/>
    <n v="0"/>
    <n v="0"/>
    <n v="0"/>
    <n v="0"/>
    <n v="0"/>
    <n v="0"/>
    <n v="0"/>
    <n v="0"/>
    <n v="0"/>
    <n v="0"/>
    <n v="0"/>
  </r>
  <r>
    <n v="10"/>
    <x v="2"/>
    <x v="7"/>
    <x v="12"/>
    <x v="1"/>
    <x v="1"/>
    <x v="3"/>
    <x v="5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.1"/>
    <n v="0.1"/>
    <x v="3"/>
    <x v="3"/>
    <x v="3"/>
    <n v="0.1"/>
    <n v="0.1"/>
    <n v="0.1"/>
    <n v="0"/>
    <n v="0"/>
    <n v="0"/>
    <n v="0"/>
    <n v="0"/>
    <n v="0"/>
    <n v="0"/>
    <n v="0"/>
    <n v="0"/>
    <n v="0"/>
    <n v="0"/>
    <n v="0"/>
  </r>
  <r>
    <n v="11"/>
    <x v="2"/>
    <x v="7"/>
    <x v="12"/>
    <x v="1"/>
    <x v="1"/>
    <x v="1"/>
    <x v="28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"/>
    <n v="0.5"/>
    <x v="1"/>
    <x v="1"/>
    <n v="0.5"/>
    <n v="0.5"/>
    <x v="1"/>
    <x v="1"/>
    <x v="1"/>
    <n v="0.5"/>
    <n v="0.5"/>
    <n v="0.5"/>
    <n v="0"/>
    <n v="0"/>
    <n v="0"/>
    <n v="0"/>
    <n v="0"/>
    <n v="0"/>
    <n v="0"/>
    <n v="0"/>
    <n v="0"/>
    <n v="0"/>
    <n v="0"/>
    <n v="0"/>
  </r>
  <r>
    <n v="12"/>
    <x v="2"/>
    <x v="7"/>
    <x v="12"/>
    <x v="1"/>
    <x v="1"/>
    <x v="2"/>
    <x v="5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.5"/>
    <n v="0.5"/>
    <x v="1"/>
    <x v="1"/>
    <x v="1"/>
    <n v="0.5"/>
    <n v="0.5"/>
    <n v="0.5"/>
    <n v="0"/>
    <n v="0"/>
    <n v="0"/>
    <n v="0"/>
    <n v="0"/>
    <n v="0"/>
    <n v="0"/>
    <n v="0"/>
    <n v="0"/>
    <n v="0"/>
    <n v="0"/>
    <n v="0"/>
  </r>
  <r>
    <n v="13"/>
    <x v="2"/>
    <x v="7"/>
    <x v="12"/>
    <x v="1"/>
    <x v="8"/>
    <x v="3"/>
    <x v="26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x v="4"/>
    <x v="4"/>
    <n v="0.2"/>
    <n v="0.2"/>
    <x v="4"/>
    <x v="4"/>
    <x v="4"/>
    <n v="0.2"/>
    <n v="0.2"/>
    <n v="0.2"/>
    <n v="0"/>
    <n v="0"/>
    <n v="0"/>
    <n v="0"/>
    <n v="0"/>
    <n v="0"/>
    <n v="0"/>
    <n v="0"/>
    <n v="0"/>
    <n v="0"/>
    <n v="0"/>
    <n v="0"/>
  </r>
  <r>
    <n v="14"/>
    <x v="2"/>
    <x v="7"/>
    <x v="12"/>
    <x v="1"/>
    <x v="8"/>
    <x v="11"/>
    <x v="27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x v="5"/>
    <x v="5"/>
    <n v="1"/>
    <n v="1"/>
    <x v="5"/>
    <x v="5"/>
    <x v="5"/>
    <n v="1"/>
    <n v="1"/>
    <n v="1"/>
    <n v="0"/>
    <n v="0"/>
    <n v="0"/>
    <n v="0"/>
    <n v="0"/>
    <n v="0"/>
    <n v="0"/>
    <n v="0"/>
    <n v="0"/>
    <n v="0"/>
    <n v="0"/>
    <n v="0"/>
  </r>
  <r>
    <n v="15"/>
    <x v="2"/>
    <x v="7"/>
    <x v="12"/>
    <x v="4"/>
    <x v="9"/>
    <x v="12"/>
    <x v="31"/>
    <d v="2027-01-25T00:00:00"/>
    <d v="2027-01-25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2"/>
    <n v="0"/>
    <x v="0"/>
    <x v="0"/>
    <n v="0"/>
    <n v="0"/>
    <x v="6"/>
    <x v="0"/>
    <x v="0"/>
    <n v="0"/>
    <n v="0"/>
    <s v="G5/G6"/>
    <n v="0"/>
    <n v="0"/>
    <n v="0"/>
    <n v="0"/>
    <n v="0"/>
    <n v="0"/>
    <n v="0"/>
    <n v="0"/>
    <n v="0"/>
    <n v="0"/>
    <n v="0"/>
    <n v="0"/>
  </r>
  <r>
    <n v="1"/>
    <x v="2"/>
    <x v="2"/>
    <x v="13"/>
    <x v="3"/>
    <x v="5"/>
    <x v="10"/>
    <x v="24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x v="3"/>
    <x v="3"/>
    <n v="0.1"/>
    <n v="0.1"/>
    <x v="3"/>
    <x v="3"/>
    <x v="3"/>
    <n v="0.1"/>
    <n v="0.1"/>
    <n v="0.1"/>
    <n v="0.1"/>
    <n v="0.1"/>
    <n v="0.1"/>
    <n v="0.1"/>
    <n v="0.1"/>
    <n v="0.1"/>
    <n v="0.1"/>
    <n v="0.1"/>
    <n v="0"/>
    <n v="0"/>
    <n v="0"/>
    <n v="0"/>
  </r>
  <r>
    <n v="2"/>
    <x v="2"/>
    <x v="2"/>
    <x v="13"/>
    <x v="2"/>
    <x v="5"/>
    <x v="8"/>
    <x v="1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x v="4"/>
    <x v="4"/>
    <n v="0.2"/>
    <n v="0.2"/>
    <x v="4"/>
    <x v="4"/>
    <x v="4"/>
    <n v="0.2"/>
    <n v="0.2"/>
    <n v="0.2"/>
    <n v="0.2"/>
    <n v="0.2"/>
    <n v="0.2"/>
    <n v="0.2"/>
    <n v="0.1"/>
    <n v="0.1"/>
    <n v="0.1"/>
    <n v="0.1"/>
    <n v="0"/>
    <n v="0"/>
    <n v="0"/>
    <n v="0"/>
  </r>
  <r>
    <n v="3"/>
    <x v="2"/>
    <x v="2"/>
    <x v="13"/>
    <x v="2"/>
    <x v="6"/>
    <x v="9"/>
    <x v="53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4"/>
    <x v="2"/>
    <x v="2"/>
    <x v="13"/>
    <x v="0"/>
    <x v="5"/>
    <x v="8"/>
    <x v="14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3"/>
    <n v="0.3"/>
    <x v="2"/>
    <x v="2"/>
    <n v="0.3"/>
    <n v="0.3"/>
    <x v="2"/>
    <x v="2"/>
    <x v="2"/>
    <n v="0.3"/>
    <n v="0.3"/>
    <n v="0.3"/>
    <n v="0.3"/>
    <n v="0.3"/>
    <n v="0.3"/>
    <n v="0"/>
    <n v="0"/>
    <n v="0"/>
    <n v="0"/>
    <n v="0"/>
    <n v="0"/>
    <n v="0"/>
    <n v="0"/>
    <n v="0"/>
  </r>
  <r>
    <n v="5"/>
    <x v="2"/>
    <x v="2"/>
    <x v="13"/>
    <x v="0"/>
    <x v="2"/>
    <x v="6"/>
    <x v="49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6"/>
    <x v="2"/>
    <x v="2"/>
    <x v="13"/>
    <x v="0"/>
    <x v="7"/>
    <x v="0"/>
    <x v="2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7"/>
    <x v="2"/>
    <x v="2"/>
    <x v="13"/>
    <x v="0"/>
    <x v="0"/>
    <x v="0"/>
    <x v="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8"/>
    <x v="2"/>
    <x v="2"/>
    <x v="13"/>
    <x v="0"/>
    <x v="4"/>
    <x v="0"/>
    <x v="21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9"/>
    <x v="2"/>
    <x v="2"/>
    <x v="13"/>
    <x v="0"/>
    <x v="2"/>
    <x v="7"/>
    <x v="50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10"/>
    <x v="2"/>
    <x v="2"/>
    <x v="13"/>
    <x v="0"/>
    <x v="2"/>
    <x v="4"/>
    <x v="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2"/>
    <x v="2"/>
    <x v="13"/>
    <x v="0"/>
    <x v="3"/>
    <x v="3"/>
    <x v="1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3"/>
    <n v="0.3"/>
    <n v="0.3"/>
    <n v="0.3"/>
    <n v="0.3"/>
    <n v="0.3"/>
    <x v="2"/>
    <x v="2"/>
    <n v="0.3"/>
    <n v="0.3"/>
    <x v="2"/>
    <x v="2"/>
    <x v="2"/>
    <n v="0.2"/>
    <n v="0.1"/>
    <n v="0.1"/>
    <n v="0.1"/>
    <n v="0.1"/>
    <n v="0.1"/>
    <n v="0"/>
    <n v="0"/>
    <n v="0"/>
    <n v="0"/>
    <n v="0"/>
    <n v="0"/>
    <n v="0"/>
    <n v="0"/>
    <n v="0"/>
  </r>
  <r>
    <n v="12"/>
    <x v="2"/>
    <x v="2"/>
    <x v="13"/>
    <x v="0"/>
    <x v="3"/>
    <x v="5"/>
    <x v="7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13"/>
    <x v="2"/>
    <x v="2"/>
    <x v="13"/>
    <x v="0"/>
    <x v="3"/>
    <x v="5"/>
    <x v="57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14"/>
    <x v="2"/>
    <x v="2"/>
    <x v="13"/>
    <x v="1"/>
    <x v="5"/>
    <x v="8"/>
    <x v="2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x v="3"/>
    <x v="3"/>
    <n v="0.2"/>
    <n v="0.2"/>
    <x v="4"/>
    <x v="4"/>
    <x v="4"/>
    <n v="0.2"/>
    <n v="0.2"/>
    <n v="0.2"/>
    <n v="0.2"/>
    <n v="0.2"/>
    <n v="0.2"/>
    <n v="0.2"/>
    <n v="0.2"/>
    <n v="0.2"/>
    <n v="0.2"/>
    <n v="0.2"/>
    <n v="0"/>
    <n v="0"/>
    <n v="0"/>
    <n v="0"/>
  </r>
  <r>
    <n v="15"/>
    <x v="2"/>
    <x v="2"/>
    <x v="13"/>
    <x v="1"/>
    <x v="1"/>
    <x v="3"/>
    <x v="5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x v="3"/>
    <x v="3"/>
    <n v="0.2"/>
    <n v="0.2"/>
    <x v="4"/>
    <x v="4"/>
    <x v="4"/>
    <n v="0"/>
    <n v="0"/>
    <n v="0"/>
    <n v="0"/>
    <n v="0"/>
    <n v="0"/>
    <n v="0"/>
    <n v="0"/>
    <n v="0"/>
    <n v="0"/>
    <n v="0"/>
    <n v="0"/>
    <n v="0"/>
    <n v="0"/>
    <n v="0"/>
  </r>
  <r>
    <n v="16"/>
    <x v="2"/>
    <x v="2"/>
    <x v="13"/>
    <x v="1"/>
    <x v="1"/>
    <x v="1"/>
    <x v="28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17"/>
    <x v="2"/>
    <x v="2"/>
    <x v="13"/>
    <x v="1"/>
    <x v="1"/>
    <x v="1"/>
    <x v="28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0.5"/>
    <n v="0.5"/>
    <x v="1"/>
    <x v="1"/>
    <n v="0.5"/>
    <n v="0.5"/>
    <x v="1"/>
    <x v="1"/>
    <x v="1"/>
    <n v="0.5"/>
    <n v="0.5"/>
    <n v="0.5"/>
    <n v="0.5"/>
    <n v="0.5"/>
    <n v="0.5"/>
    <n v="0.5"/>
    <n v="0"/>
    <n v="0"/>
    <n v="0"/>
    <n v="0"/>
    <n v="0"/>
    <n v="0"/>
    <n v="0"/>
    <n v="0"/>
  </r>
  <r>
    <n v="18"/>
    <x v="2"/>
    <x v="2"/>
    <x v="13"/>
    <x v="1"/>
    <x v="1"/>
    <x v="2"/>
    <x v="5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19"/>
    <x v="2"/>
    <x v="2"/>
    <x v="13"/>
    <x v="1"/>
    <x v="8"/>
    <x v="3"/>
    <x v="26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x v="4"/>
    <x v="4"/>
    <n v="0.2"/>
    <n v="0.2"/>
    <x v="4"/>
    <x v="4"/>
    <x v="4"/>
    <n v="0.2"/>
    <n v="0.2"/>
    <n v="0.2"/>
    <n v="0.2"/>
    <n v="0.2"/>
    <n v="0.2"/>
    <n v="0"/>
    <n v="0"/>
    <n v="0"/>
    <n v="0"/>
    <n v="0"/>
    <n v="0"/>
    <n v="0"/>
    <n v="0"/>
    <n v="0"/>
  </r>
  <r>
    <n v="20"/>
    <x v="2"/>
    <x v="2"/>
    <x v="13"/>
    <x v="1"/>
    <x v="8"/>
    <x v="11"/>
    <x v="58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.5"/>
    <n v="0.5"/>
    <n v="0.5"/>
    <n v="0.5"/>
    <n v="1"/>
    <n v="1"/>
    <x v="5"/>
    <x v="5"/>
    <n v="1"/>
    <n v="1"/>
    <x v="5"/>
    <x v="5"/>
    <x v="5"/>
    <n v="1"/>
    <n v="1"/>
    <n v="1"/>
    <n v="1"/>
    <n v="1"/>
    <n v="1"/>
    <n v="1"/>
    <n v="1"/>
    <n v="1"/>
    <n v="1"/>
    <n v="1"/>
    <n v="0"/>
    <n v="0"/>
    <n v="0"/>
    <n v="0"/>
  </r>
  <r>
    <n v="21"/>
    <x v="2"/>
    <x v="2"/>
    <x v="13"/>
    <x v="1"/>
    <x v="8"/>
    <x v="11"/>
    <x v="52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1"/>
    <n v="0.5"/>
    <n v="0.5"/>
    <x v="1"/>
    <x v="1"/>
    <x v="1"/>
    <n v="0.5"/>
    <n v="0.5"/>
    <n v="0.5"/>
    <n v="0.5"/>
    <n v="0.5"/>
    <n v="0.5"/>
    <n v="0.5"/>
    <n v="0"/>
    <n v="0"/>
    <n v="0"/>
    <n v="0"/>
    <n v="0"/>
    <n v="0"/>
    <n v="0"/>
    <n v="0"/>
  </r>
  <r>
    <n v="22"/>
    <x v="2"/>
    <x v="2"/>
    <x v="13"/>
    <x v="4"/>
    <x v="9"/>
    <x v="12"/>
    <x v="31"/>
    <d v="2027-06-01T00:00:00"/>
    <d v="2027-12-01T00:00:00"/>
    <n v="0"/>
    <n v="0"/>
    <n v="0"/>
    <n v="0"/>
    <n v="0"/>
    <n v="0"/>
    <n v="0"/>
    <n v="0"/>
    <n v="0"/>
    <n v="0"/>
    <n v="0"/>
    <n v="0"/>
    <n v="0"/>
    <n v="0"/>
    <n v="0"/>
    <n v="0"/>
    <s v="G1"/>
    <n v="0"/>
    <s v="G2"/>
    <n v="0"/>
    <n v="0"/>
    <x v="0"/>
    <x v="7"/>
    <n v="0"/>
    <n v="0"/>
    <x v="0"/>
    <x v="0"/>
    <x v="7"/>
    <n v="0"/>
    <n v="0"/>
    <n v="0"/>
    <n v="0"/>
    <n v="0"/>
    <s v="G5"/>
    <n v="0"/>
    <n v="0"/>
    <n v="0"/>
    <n v="0"/>
    <n v="0"/>
    <s v="G6"/>
    <n v="0"/>
    <n v="0"/>
    <n v="0"/>
  </r>
  <r>
    <n v="1"/>
    <x v="3"/>
    <x v="2"/>
    <x v="14"/>
    <x v="3"/>
    <x v="5"/>
    <x v="10"/>
    <x v="24"/>
    <d v="2027-07-30T00:00:00"/>
    <d v="2027-12-27T00:00:0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x v="3"/>
    <x v="3"/>
    <n v="0.1"/>
    <n v="0.1"/>
    <x v="3"/>
    <x v="3"/>
    <x v="3"/>
    <n v="0.1"/>
    <n v="0.1"/>
    <n v="0.1"/>
    <n v="0.1"/>
    <n v="0"/>
    <n v="0"/>
    <n v="0"/>
    <n v="0"/>
    <n v="0"/>
    <n v="0"/>
    <n v="0"/>
    <n v="0"/>
    <n v="0"/>
    <n v="0"/>
    <n v="0"/>
  </r>
  <r>
    <n v="2"/>
    <x v="3"/>
    <x v="2"/>
    <x v="14"/>
    <x v="2"/>
    <x v="5"/>
    <x v="8"/>
    <x v="12"/>
    <d v="2027-07-30T00:00:00"/>
    <d v="2027-12-27T00:00:0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x v="4"/>
    <x v="4"/>
    <n v="0.2"/>
    <n v="0.2"/>
    <x v="4"/>
    <x v="4"/>
    <x v="3"/>
    <n v="0.1"/>
    <n v="0.1"/>
    <n v="0.1"/>
    <n v="0.1"/>
    <n v="0"/>
    <n v="0"/>
    <n v="0"/>
    <n v="0"/>
    <n v="0"/>
    <n v="0"/>
    <n v="0"/>
    <n v="0"/>
    <n v="0"/>
    <n v="0"/>
    <n v="0"/>
  </r>
  <r>
    <n v="3"/>
    <x v="3"/>
    <x v="2"/>
    <x v="14"/>
    <x v="2"/>
    <x v="6"/>
    <x v="9"/>
    <x v="59"/>
    <d v="2027-07-30T00:00:00"/>
    <d v="2027-12-27T00:00:00"/>
    <n v="0"/>
    <n v="0"/>
    <n v="0"/>
    <n v="0"/>
    <n v="0"/>
    <n v="0"/>
    <n v="0"/>
    <n v="0"/>
    <n v="0"/>
    <n v="0"/>
    <n v="0"/>
    <n v="0"/>
    <n v="0"/>
    <n v="0.5"/>
    <n v="1"/>
    <n v="1"/>
    <n v="1"/>
    <n v="1"/>
    <n v="1"/>
    <n v="1"/>
    <n v="1"/>
    <x v="5"/>
    <x v="5"/>
    <n v="1"/>
    <n v="1"/>
    <x v="5"/>
    <x v="5"/>
    <x v="5"/>
    <n v="0.5"/>
    <n v="0.5"/>
    <n v="0.5"/>
    <n v="0.5"/>
    <n v="0"/>
    <n v="0"/>
    <n v="0"/>
    <n v="0"/>
    <n v="0"/>
    <n v="0"/>
    <n v="0"/>
    <n v="0"/>
    <n v="0"/>
    <n v="0"/>
    <n v="0"/>
  </r>
  <r>
    <n v="4"/>
    <x v="3"/>
    <x v="2"/>
    <x v="14"/>
    <x v="0"/>
    <x v="5"/>
    <x v="8"/>
    <x v="14"/>
    <d v="2027-07-30T00:00:00"/>
    <d v="2027-12-27T00:00:00"/>
    <n v="0"/>
    <n v="0"/>
    <n v="0"/>
    <n v="0"/>
    <n v="0"/>
    <n v="0"/>
    <n v="0"/>
    <n v="0"/>
    <n v="0"/>
    <n v="0"/>
    <n v="0"/>
    <n v="0"/>
    <n v="0"/>
    <n v="0.1"/>
    <n v="0.1"/>
    <n v="0.2"/>
    <n v="0.2"/>
    <n v="0.2"/>
    <n v="0.2"/>
    <n v="0.2"/>
    <n v="0.2"/>
    <x v="4"/>
    <x v="4"/>
    <n v="0.2"/>
    <n v="0.2"/>
    <x v="4"/>
    <x v="4"/>
    <x v="3"/>
    <n v="0.1"/>
    <n v="0.1"/>
    <n v="0.1"/>
    <n v="0.1"/>
    <n v="0"/>
    <n v="0"/>
    <n v="0"/>
    <n v="0"/>
    <n v="0"/>
    <n v="0"/>
    <n v="0"/>
    <n v="0"/>
    <n v="0"/>
    <n v="0"/>
    <n v="0"/>
  </r>
  <r>
    <n v="5"/>
    <x v="3"/>
    <x v="2"/>
    <x v="14"/>
    <x v="0"/>
    <x v="0"/>
    <x v="3"/>
    <x v="60"/>
    <d v="2027-07-30T00:00:00"/>
    <d v="2027-12-27T00:00:00"/>
    <n v="0"/>
    <n v="0"/>
    <n v="0"/>
    <n v="0"/>
    <n v="0"/>
    <n v="0"/>
    <n v="0"/>
    <n v="0"/>
    <n v="0"/>
    <n v="0"/>
    <n v="0"/>
    <n v="0"/>
    <n v="0"/>
    <n v="0.5"/>
    <n v="1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6"/>
    <x v="3"/>
    <x v="2"/>
    <x v="14"/>
    <x v="0"/>
    <x v="0"/>
    <x v="0"/>
    <x v="0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7"/>
    <x v="3"/>
    <x v="2"/>
    <x v="14"/>
    <x v="0"/>
    <x v="0"/>
    <x v="0"/>
    <x v="0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8"/>
    <x v="3"/>
    <x v="2"/>
    <x v="14"/>
    <x v="0"/>
    <x v="0"/>
    <x v="0"/>
    <x v="0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9"/>
    <x v="3"/>
    <x v="2"/>
    <x v="14"/>
    <x v="0"/>
    <x v="0"/>
    <x v="7"/>
    <x v="61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x v="5"/>
    <x v="5"/>
    <n v="1"/>
    <n v="1"/>
    <x v="5"/>
    <x v="5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3"/>
    <x v="2"/>
    <x v="14"/>
    <x v="0"/>
    <x v="3"/>
    <x v="3"/>
    <x v="15"/>
    <d v="2027-07-30T00:00:00"/>
    <d v="2027-12-27T00:00:00"/>
    <n v="0"/>
    <n v="0"/>
    <n v="0"/>
    <n v="0"/>
    <n v="0"/>
    <n v="0"/>
    <n v="0"/>
    <n v="0"/>
    <n v="0"/>
    <n v="0"/>
    <n v="0"/>
    <n v="0"/>
    <n v="0"/>
    <n v="0.1"/>
    <n v="0.1"/>
    <n v="0.2"/>
    <n v="0.2"/>
    <n v="0.2"/>
    <n v="0.2"/>
    <n v="0.2"/>
    <n v="0.2"/>
    <x v="4"/>
    <x v="4"/>
    <n v="0.2"/>
    <n v="0.2"/>
    <x v="4"/>
    <x v="4"/>
    <x v="4"/>
    <n v="0.2"/>
    <n v="0.2"/>
    <n v="0.2"/>
    <n v="0.2"/>
    <n v="0"/>
    <n v="0"/>
    <n v="0"/>
    <n v="0"/>
    <n v="0"/>
    <n v="0"/>
    <n v="0"/>
    <n v="0"/>
    <n v="0"/>
    <n v="0"/>
    <n v="0"/>
  </r>
  <r>
    <n v="12"/>
    <x v="3"/>
    <x v="2"/>
    <x v="14"/>
    <x v="0"/>
    <x v="3"/>
    <x v="5"/>
    <x v="57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13"/>
    <x v="3"/>
    <x v="2"/>
    <x v="14"/>
    <x v="0"/>
    <x v="3"/>
    <x v="5"/>
    <x v="57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14"/>
    <x v="3"/>
    <x v="2"/>
    <x v="14"/>
    <x v="0"/>
    <x v="3"/>
    <x v="5"/>
    <x v="57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x v="5"/>
    <x v="5"/>
    <n v="1"/>
    <n v="1"/>
    <x v="5"/>
    <x v="5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3"/>
    <x v="2"/>
    <x v="14"/>
    <x v="1"/>
    <x v="5"/>
    <x v="8"/>
    <x v="25"/>
    <d v="2027-07-30T00:00:00"/>
    <d v="2027-12-27T00:00:00"/>
    <n v="0"/>
    <n v="0"/>
    <n v="0"/>
    <n v="0"/>
    <n v="0"/>
    <n v="0"/>
    <n v="0"/>
    <n v="0"/>
    <n v="0"/>
    <n v="0"/>
    <n v="0"/>
    <n v="0"/>
    <n v="0"/>
    <n v="0.1"/>
    <n v="0.1"/>
    <n v="0.1"/>
    <n v="0.1"/>
    <n v="0.1"/>
    <n v="0.1"/>
    <n v="0.1"/>
    <n v="0.1"/>
    <x v="3"/>
    <x v="3"/>
    <n v="0.1"/>
    <n v="0.1"/>
    <x v="3"/>
    <x v="3"/>
    <x v="3"/>
    <n v="0.1"/>
    <n v="0.1"/>
    <n v="0.1"/>
    <n v="0.1"/>
    <n v="0"/>
    <n v="0"/>
    <n v="0"/>
    <n v="0"/>
    <n v="0"/>
    <n v="0"/>
    <n v="0"/>
    <n v="0"/>
    <n v="0"/>
    <n v="0"/>
    <n v="0"/>
  </r>
  <r>
    <n v="16"/>
    <x v="3"/>
    <x v="2"/>
    <x v="14"/>
    <x v="1"/>
    <x v="1"/>
    <x v="3"/>
    <x v="5"/>
    <d v="2027-07-30T00:00:00"/>
    <d v="2027-12-27T00:00:0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n v="0.2"/>
    <n v="0.2"/>
    <x v="4"/>
    <x v="4"/>
    <n v="0.2"/>
    <n v="0.2"/>
    <x v="4"/>
    <x v="4"/>
    <x v="4"/>
    <n v="0.2"/>
    <n v="0.2"/>
    <n v="0.2"/>
    <n v="0"/>
    <n v="0"/>
    <n v="0"/>
    <n v="0"/>
    <n v="0"/>
    <n v="0"/>
    <n v="0"/>
    <n v="0"/>
    <n v="0"/>
    <n v="0"/>
    <n v="0"/>
    <n v="0"/>
  </r>
  <r>
    <n v="17"/>
    <x v="3"/>
    <x v="2"/>
    <x v="14"/>
    <x v="1"/>
    <x v="1"/>
    <x v="1"/>
    <x v="28"/>
    <d v="2027-07-30T00:00:00"/>
    <d v="2027-12-27T00:00:0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18"/>
    <x v="3"/>
    <x v="2"/>
    <x v="14"/>
    <x v="1"/>
    <x v="1"/>
    <x v="2"/>
    <x v="56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19"/>
    <x v="3"/>
    <x v="2"/>
    <x v="14"/>
    <x v="1"/>
    <x v="8"/>
    <x v="3"/>
    <x v="26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0.2"/>
    <n v="0.2"/>
    <n v="0.2"/>
    <n v="0.2"/>
    <n v="0.2"/>
    <n v="0.2"/>
    <x v="4"/>
    <x v="4"/>
    <n v="0.2"/>
    <n v="0.2"/>
    <x v="4"/>
    <x v="4"/>
    <x v="4"/>
    <n v="0.2"/>
    <n v="0.2"/>
    <n v="0.2"/>
    <n v="0.2"/>
    <n v="0"/>
    <n v="0"/>
    <n v="0"/>
    <n v="0"/>
    <n v="0"/>
    <n v="0"/>
    <n v="0"/>
    <n v="0"/>
    <n v="0"/>
    <n v="0"/>
    <n v="0"/>
  </r>
  <r>
    <n v="20"/>
    <x v="3"/>
    <x v="2"/>
    <x v="14"/>
    <x v="1"/>
    <x v="8"/>
    <x v="11"/>
    <x v="47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5"/>
    <n v="1"/>
    <n v="1"/>
    <n v="1"/>
    <n v="1"/>
    <n v="0"/>
    <n v="0"/>
    <n v="0"/>
    <n v="0"/>
    <n v="0"/>
    <n v="0"/>
    <n v="0"/>
    <n v="0"/>
    <n v="0"/>
    <n v="0"/>
    <n v="0"/>
  </r>
  <r>
    <n v="21"/>
    <x v="3"/>
    <x v="2"/>
    <x v="14"/>
    <x v="1"/>
    <x v="8"/>
    <x v="11"/>
    <x v="52"/>
    <d v="2027-07-30T00:00:00"/>
    <d v="2027-12-27T00:00:0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x v="5"/>
    <x v="5"/>
    <n v="1"/>
    <n v="1"/>
    <x v="5"/>
    <x v="5"/>
    <x v="1"/>
    <n v="0.5"/>
    <n v="0.5"/>
    <n v="0.5"/>
    <n v="0.5"/>
    <n v="0"/>
    <n v="0"/>
    <n v="0"/>
    <n v="0"/>
    <n v="0"/>
    <n v="0"/>
    <n v="0"/>
    <n v="0"/>
    <n v="0"/>
    <n v="0"/>
    <n v="0"/>
  </r>
  <r>
    <n v="22"/>
    <x v="3"/>
    <x v="2"/>
    <x v="14"/>
    <x v="4"/>
    <x v="9"/>
    <x v="12"/>
    <x v="31"/>
    <d v="2027-07-30T00:00:00"/>
    <d v="2027-12-27T00:00:00"/>
    <n v="0"/>
    <n v="0"/>
    <n v="0"/>
    <n v="0"/>
    <n v="0"/>
    <n v="0"/>
    <n v="0"/>
    <n v="0"/>
    <n v="0"/>
    <n v="0"/>
    <n v="0"/>
    <n v="0"/>
    <n v="0"/>
    <s v="G1"/>
    <n v="0"/>
    <n v="0"/>
    <s v="G2"/>
    <n v="0"/>
    <n v="0"/>
    <n v="0"/>
    <n v="0"/>
    <x v="7"/>
    <x v="0"/>
    <n v="0"/>
    <n v="0"/>
    <x v="0"/>
    <x v="6"/>
    <x v="0"/>
    <n v="0"/>
    <n v="0"/>
    <n v="0"/>
    <s v="G6"/>
    <n v="0"/>
    <n v="0"/>
    <n v="0"/>
    <n v="0"/>
    <n v="0"/>
    <n v="0"/>
    <n v="0"/>
    <n v="0"/>
    <n v="0"/>
    <n v="0"/>
    <n v="0"/>
  </r>
  <r>
    <n v="1"/>
    <x v="0"/>
    <x v="4"/>
    <x v="15"/>
    <x v="3"/>
    <x v="5"/>
    <x v="10"/>
    <x v="24"/>
    <d v="1899-12-30T00:00:00"/>
    <d v="1899-12-30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2"/>
    <x v="0"/>
    <x v="4"/>
    <x v="15"/>
    <x v="2"/>
    <x v="5"/>
    <x v="8"/>
    <x v="12"/>
    <d v="1899-12-30T00:00:00"/>
    <d v="1899-12-30T00:00:00"/>
    <n v="0"/>
    <n v="0"/>
    <n v="0"/>
    <n v="0"/>
    <n v="0"/>
    <n v="0"/>
    <n v="0"/>
    <n v="0.2"/>
    <n v="0.2"/>
    <n v="0.2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3"/>
    <x v="0"/>
    <x v="4"/>
    <x v="15"/>
    <x v="2"/>
    <x v="6"/>
    <x v="9"/>
    <x v="59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4"/>
    <x v="0"/>
    <x v="4"/>
    <x v="15"/>
    <x v="0"/>
    <x v="5"/>
    <x v="8"/>
    <x v="14"/>
    <d v="1899-12-30T00:00:00"/>
    <d v="1899-12-30T00:00:00"/>
    <n v="0"/>
    <n v="0"/>
    <n v="0"/>
    <n v="0"/>
    <n v="0"/>
    <n v="0"/>
    <n v="0"/>
    <n v="0.2"/>
    <n v="0.2"/>
    <n v="0.2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5"/>
    <x v="0"/>
    <x v="4"/>
    <x v="15"/>
    <x v="0"/>
    <x v="7"/>
    <x v="6"/>
    <x v="19"/>
    <d v="1899-12-30T00:00:00"/>
    <d v="1899-12-30T00:00:00"/>
    <n v="0"/>
    <n v="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6"/>
    <x v="0"/>
    <x v="4"/>
    <x v="15"/>
    <x v="0"/>
    <x v="7"/>
    <x v="0"/>
    <x v="30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1"/>
    <n v="0"/>
    <n v="0"/>
    <n v="0"/>
    <n v="0"/>
    <n v="0"/>
    <n v="0"/>
    <n v="0"/>
    <n v="0"/>
    <n v="0"/>
    <n v="0"/>
    <n v="0"/>
    <n v="0"/>
    <n v="0"/>
    <n v="0"/>
  </r>
  <r>
    <n v="7"/>
    <x v="0"/>
    <x v="4"/>
    <x v="15"/>
    <x v="0"/>
    <x v="2"/>
    <x v="0"/>
    <x v="29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x v="5"/>
    <x v="5"/>
    <n v="1"/>
    <n v="1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8"/>
    <x v="0"/>
    <x v="4"/>
    <x v="15"/>
    <x v="0"/>
    <x v="7"/>
    <x v="7"/>
    <x v="23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1"/>
    <n v="0"/>
    <n v="0"/>
    <n v="0"/>
    <n v="0"/>
    <n v="0"/>
    <n v="0"/>
    <n v="0"/>
    <n v="0"/>
    <n v="0"/>
    <n v="0"/>
    <n v="0"/>
    <n v="0"/>
    <n v="0"/>
    <n v="0"/>
  </r>
  <r>
    <n v="9"/>
    <x v="0"/>
    <x v="4"/>
    <x v="15"/>
    <x v="0"/>
    <x v="9"/>
    <x v="7"/>
    <x v="61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1"/>
    <n v="0"/>
    <n v="0"/>
    <n v="0"/>
    <n v="0"/>
    <n v="0"/>
    <n v="0"/>
    <n v="0"/>
    <n v="0"/>
    <n v="0"/>
    <n v="0"/>
    <n v="0"/>
    <n v="0"/>
    <n v="0"/>
    <n v="0"/>
  </r>
  <r>
    <n v="10"/>
    <x v="0"/>
    <x v="4"/>
    <x v="15"/>
    <x v="0"/>
    <x v="3"/>
    <x v="3"/>
    <x v="15"/>
    <d v="1899-12-30T00:00:00"/>
    <d v="1899-12-30T00:00:00"/>
    <n v="0"/>
    <n v="0"/>
    <n v="0"/>
    <n v="0"/>
    <n v="0"/>
    <n v="0"/>
    <n v="0.2"/>
    <n v="0.2"/>
    <n v="0.2"/>
    <n v="0.2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11"/>
    <x v="0"/>
    <x v="4"/>
    <x v="15"/>
    <x v="0"/>
    <x v="3"/>
    <x v="5"/>
    <x v="17"/>
    <d v="1899-12-30T00:00:00"/>
    <d v="1899-12-30T00:00:00"/>
    <n v="0"/>
    <n v="0"/>
    <n v="0"/>
    <n v="0"/>
    <n v="0"/>
    <n v="0"/>
    <n v="0.5"/>
    <n v="0.5"/>
    <n v="0.5"/>
    <n v="0.5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1"/>
    <n v="0"/>
    <n v="0"/>
    <n v="0"/>
    <n v="0"/>
    <n v="0"/>
    <n v="0"/>
    <n v="0"/>
    <n v="0"/>
    <n v="0"/>
    <n v="0"/>
    <n v="0"/>
    <n v="0"/>
    <n v="0"/>
    <n v="0"/>
  </r>
  <r>
    <n v="12"/>
    <x v="0"/>
    <x v="4"/>
    <x v="15"/>
    <x v="0"/>
    <x v="3"/>
    <x v="5"/>
    <x v="51"/>
    <d v="1899-12-30T00:00:00"/>
    <d v="1899-12-30T00:00:00"/>
    <n v="0"/>
    <n v="0"/>
    <n v="0"/>
    <n v="0"/>
    <n v="0"/>
    <n v="0"/>
    <n v="0.5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5"/>
    <x v="5"/>
    <x v="5"/>
    <n v="1"/>
    <n v="0"/>
    <n v="0"/>
    <n v="0"/>
    <n v="0"/>
    <n v="0"/>
    <n v="0"/>
    <n v="0"/>
    <n v="0"/>
    <n v="0"/>
    <n v="0"/>
    <n v="0"/>
    <n v="0"/>
    <n v="0"/>
    <n v="0"/>
  </r>
  <r>
    <n v="13"/>
    <x v="0"/>
    <x v="4"/>
    <x v="15"/>
    <x v="0"/>
    <x v="3"/>
    <x v="5"/>
    <x v="7"/>
    <d v="1899-12-30T00:00:00"/>
    <d v="1899-12-30T00:00:00"/>
    <n v="0"/>
    <n v="0"/>
    <n v="0"/>
    <n v="0"/>
    <n v="0"/>
    <n v="0"/>
    <n v="0.5"/>
    <n v="1"/>
    <n v="0.5"/>
    <n v="0.5"/>
    <n v="1"/>
    <n v="1"/>
    <n v="1"/>
    <n v="1"/>
    <n v="1"/>
    <n v="1"/>
    <n v="1"/>
    <n v="1"/>
    <n v="1"/>
    <n v="1"/>
    <n v="1"/>
    <x v="5"/>
    <x v="5"/>
    <n v="1"/>
    <n v="1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14"/>
    <x v="0"/>
    <x v="4"/>
    <x v="15"/>
    <x v="1"/>
    <x v="5"/>
    <x v="8"/>
    <x v="25"/>
    <d v="1899-12-30T00:00:00"/>
    <d v="1899-12-30T00:00:00"/>
    <n v="0"/>
    <n v="0"/>
    <n v="0"/>
    <n v="0"/>
    <n v="0"/>
    <n v="0"/>
    <n v="0"/>
    <n v="0.1"/>
    <n v="0.1"/>
    <n v="0.1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15"/>
    <x v="0"/>
    <x v="4"/>
    <x v="15"/>
    <x v="1"/>
    <x v="1"/>
    <x v="3"/>
    <x v="5"/>
    <d v="1899-12-30T00:00:00"/>
    <d v="1899-12-30T00:00:00"/>
    <n v="0"/>
    <n v="0"/>
    <n v="0"/>
    <n v="0"/>
    <n v="0"/>
    <n v="0"/>
    <n v="0"/>
    <n v="0.2"/>
    <n v="0.2"/>
    <n v="0.2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16"/>
    <x v="0"/>
    <x v="4"/>
    <x v="15"/>
    <x v="1"/>
    <x v="1"/>
    <x v="1"/>
    <x v="28"/>
    <d v="1899-12-30T00:00:00"/>
    <d v="1899-12-30T00:00:00"/>
    <n v="0"/>
    <n v="0"/>
    <n v="0"/>
    <n v="0"/>
    <n v="0"/>
    <n v="0"/>
    <n v="0"/>
    <n v="2"/>
    <n v="2"/>
    <n v="2"/>
    <n v="2"/>
    <n v="2"/>
    <n v="2"/>
    <n v="2"/>
    <n v="2"/>
    <n v="2"/>
    <n v="2"/>
    <n v="2"/>
    <n v="2"/>
    <n v="2"/>
    <n v="2"/>
    <x v="8"/>
    <x v="8"/>
    <n v="2"/>
    <n v="2"/>
    <x v="7"/>
    <x v="7"/>
    <x v="8"/>
    <n v="2"/>
    <n v="0"/>
    <n v="0"/>
    <n v="0"/>
    <n v="0"/>
    <n v="0"/>
    <n v="0"/>
    <n v="0"/>
    <n v="0"/>
    <n v="0"/>
    <n v="0"/>
    <n v="0"/>
    <n v="0"/>
    <n v="0"/>
    <n v="0"/>
  </r>
  <r>
    <n v="17"/>
    <x v="0"/>
    <x v="4"/>
    <x v="15"/>
    <x v="1"/>
    <x v="1"/>
    <x v="2"/>
    <x v="56"/>
    <d v="1899-12-30T00:00:00"/>
    <d v="1899-12-30T00:00:00"/>
    <n v="0"/>
    <n v="0"/>
    <n v="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x v="1"/>
    <x v="1"/>
    <n v="0.5"/>
    <n v="0.5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18"/>
    <x v="0"/>
    <x v="4"/>
    <x v="15"/>
    <x v="1"/>
    <x v="8"/>
    <x v="3"/>
    <x v="26"/>
    <d v="1899-12-30T00:00:00"/>
    <d v="1899-12-30T00:00:00"/>
    <n v="0"/>
    <n v="0"/>
    <n v="0"/>
    <n v="0"/>
    <n v="0"/>
    <n v="0"/>
    <n v="0"/>
    <n v="0.2"/>
    <n v="0.2"/>
    <n v="0.2"/>
    <n v="0.1"/>
    <n v="0.1"/>
    <n v="0.1"/>
    <n v="0.1"/>
    <n v="0.1"/>
    <n v="0.1"/>
    <n v="0.1"/>
    <n v="0.1"/>
    <n v="0.1"/>
    <n v="0.1"/>
    <n v="0.1"/>
    <x v="3"/>
    <x v="3"/>
    <n v="0.1"/>
    <n v="0.1"/>
    <x v="3"/>
    <x v="3"/>
    <x v="3"/>
    <n v="0.1"/>
    <n v="0"/>
    <n v="0"/>
    <n v="0"/>
    <n v="0"/>
    <n v="0"/>
    <n v="0"/>
    <n v="0"/>
    <n v="0"/>
    <n v="0"/>
    <n v="0"/>
    <n v="0"/>
    <n v="0"/>
    <n v="0"/>
    <n v="0"/>
  </r>
  <r>
    <n v="19"/>
    <x v="0"/>
    <x v="4"/>
    <x v="15"/>
    <x v="1"/>
    <x v="8"/>
    <x v="11"/>
    <x v="52"/>
    <d v="1899-12-30T00:00:00"/>
    <d v="1899-12-30T00:00:0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x v="5"/>
    <x v="5"/>
    <n v="1"/>
    <n v="1"/>
    <x v="1"/>
    <x v="1"/>
    <x v="1"/>
    <n v="0.5"/>
    <n v="0"/>
    <n v="0"/>
    <n v="0"/>
    <n v="0"/>
    <n v="0"/>
    <n v="0"/>
    <n v="0"/>
    <n v="0"/>
    <n v="0"/>
    <n v="0"/>
    <n v="0"/>
    <n v="0"/>
    <n v="0"/>
    <n v="0"/>
  </r>
  <r>
    <n v="20"/>
    <x v="0"/>
    <x v="4"/>
    <x v="15"/>
    <x v="0"/>
    <x v="7"/>
    <x v="0"/>
    <x v="35"/>
    <d v="1899-12-30T00:00:00"/>
    <d v="1899-12-30T00:00:00"/>
    <n v="0"/>
    <n v="0"/>
    <n v="0"/>
    <n v="0"/>
    <n v="0"/>
    <n v="0"/>
    <n v="0"/>
    <n v="0.5"/>
    <n v="0.5"/>
    <n v="0.5"/>
    <n v="0.5"/>
    <n v="0.5"/>
    <n v="0.5"/>
    <n v="0.5"/>
    <n v="0.5"/>
    <n v="0.5"/>
    <n v="0.5"/>
    <n v="0.5"/>
    <n v="0.5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1"/>
    <x v="0"/>
    <x v="4"/>
    <x v="15"/>
    <x v="5"/>
    <x v="10"/>
    <x v="13"/>
    <x v="62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2"/>
    <x v="0"/>
    <x v="4"/>
    <x v="15"/>
    <x v="4"/>
    <x v="9"/>
    <x v="12"/>
    <x v="31"/>
    <d v="1899-12-30T00:00:00"/>
    <d v="1899-12-30T00:00: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3"/>
    <x v="0"/>
    <x v="4"/>
    <x v="15"/>
    <x v="4"/>
    <x v="9"/>
    <x v="12"/>
    <x v="31"/>
    <d v="1899-12-30T00:00:00"/>
    <d v="1899-12-30T00:00:00"/>
    <s v="G2"/>
    <n v="0"/>
    <n v="0"/>
    <s v="G5"/>
    <n v="0"/>
    <n v="0"/>
    <n v="0"/>
    <n v="0"/>
    <n v="0"/>
    <n v="0"/>
    <n v="0"/>
    <n v="0"/>
    <n v="0"/>
    <s v="G3"/>
    <n v="0"/>
    <n v="0"/>
    <n v="0"/>
    <n v="0"/>
    <s v="G5"/>
    <n v="0"/>
    <n v="0"/>
    <x v="0"/>
    <x v="0"/>
    <n v="0"/>
    <n v="0"/>
    <x v="8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4"/>
    <x v="8"/>
    <x v="16"/>
    <x v="2"/>
    <x v="5"/>
    <x v="8"/>
    <x v="12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4"/>
    <x v="8"/>
    <x v="16"/>
    <x v="2"/>
    <x v="6"/>
    <x v="9"/>
    <x v="53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4"/>
    <x v="8"/>
    <x v="16"/>
    <x v="0"/>
    <x v="5"/>
    <x v="8"/>
    <x v="14"/>
    <d v="2025-11-30T00:00:00"/>
    <d v="2026-06-30T00:00:0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4"/>
    <x v="8"/>
    <x v="16"/>
    <x v="4"/>
    <x v="9"/>
    <x v="12"/>
    <x v="31"/>
    <d v="2025-11-30T00:00:00"/>
    <d v="2026-06-30T00:00:00"/>
    <s v="G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"/>
    <x v="1"/>
    <x v="2"/>
    <x v="17"/>
    <x v="2"/>
    <x v="5"/>
    <x v="8"/>
    <x v="12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2"/>
    <x v="1"/>
    <x v="2"/>
    <x v="17"/>
    <x v="2"/>
    <x v="6"/>
    <x v="9"/>
    <x v="59"/>
    <d v="1899-12-30T00:00:00"/>
    <d v="1899-12-30T00:00:00"/>
    <n v="0"/>
    <n v="0"/>
    <n v="0"/>
    <n v="0"/>
    <n v="0.7"/>
    <n v="0.7"/>
    <n v="0.7"/>
    <n v="0.7"/>
    <n v="0.7"/>
    <n v="0.7"/>
    <n v="0.7"/>
    <n v="0.7"/>
    <n v="0.7"/>
    <n v="0.7"/>
    <n v="0.7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3"/>
    <x v="1"/>
    <x v="2"/>
    <x v="17"/>
    <x v="0"/>
    <x v="5"/>
    <x v="8"/>
    <x v="14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4"/>
    <x v="1"/>
    <x v="2"/>
    <x v="17"/>
    <x v="0"/>
    <x v="2"/>
    <x v="6"/>
    <x v="49"/>
    <d v="1899-12-30T00:00:00"/>
    <d v="1899-12-30T00:00:00"/>
    <n v="0"/>
    <n v="0"/>
    <n v="0"/>
    <n v="0"/>
    <n v="0.5"/>
    <n v="0.5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5"/>
    <x v="1"/>
    <x v="2"/>
    <x v="17"/>
    <x v="0"/>
    <x v="0"/>
    <x v="0"/>
    <x v="0"/>
    <d v="1899-12-30T00:00:00"/>
    <d v="1899-12-30T00:00:00"/>
    <n v="0"/>
    <n v="0"/>
    <n v="0"/>
    <n v="0"/>
    <n v="0.5"/>
    <n v="0.5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6"/>
    <x v="1"/>
    <x v="2"/>
    <x v="17"/>
    <x v="0"/>
    <x v="2"/>
    <x v="7"/>
    <x v="50"/>
    <d v="1899-12-30T00:00:00"/>
    <d v="1899-12-30T00:00:0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7"/>
    <x v="1"/>
    <x v="2"/>
    <x v="17"/>
    <x v="0"/>
    <x v="3"/>
    <x v="3"/>
    <x v="15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8"/>
    <x v="1"/>
    <x v="2"/>
    <x v="17"/>
    <x v="0"/>
    <x v="3"/>
    <x v="5"/>
    <x v="17"/>
    <d v="1899-12-30T00:00:00"/>
    <d v="1899-12-30T00:00:00"/>
    <n v="0"/>
    <n v="0"/>
    <n v="0"/>
    <n v="0"/>
    <n v="0.5"/>
    <n v="1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9"/>
    <x v="1"/>
    <x v="2"/>
    <x v="17"/>
    <x v="1"/>
    <x v="5"/>
    <x v="8"/>
    <x v="25"/>
    <d v="1899-12-30T00:00:00"/>
    <d v="1899-12-30T00:00:00"/>
    <n v="0"/>
    <n v="0"/>
    <n v="0"/>
    <n v="0"/>
    <n v="0.1"/>
    <n v="0.1"/>
    <n v="0.1"/>
    <n v="0.1"/>
    <n v="0.1"/>
    <n v="0.1"/>
    <n v="0.1"/>
    <n v="0.1"/>
    <n v="0.1"/>
    <n v="0.1"/>
    <n v="0.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0"/>
    <x v="1"/>
    <x v="2"/>
    <x v="17"/>
    <x v="1"/>
    <x v="1"/>
    <x v="3"/>
    <x v="5"/>
    <d v="1899-12-30T00:00:00"/>
    <d v="1899-12-30T00:00:00"/>
    <n v="0"/>
    <n v="0"/>
    <n v="0"/>
    <n v="0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x v="2"/>
    <x v="17"/>
    <x v="1"/>
    <x v="1"/>
    <x v="1"/>
    <x v="28"/>
    <d v="1899-12-30T00:00:00"/>
    <d v="1899-12-30T00:00:00"/>
    <n v="0"/>
    <n v="0"/>
    <n v="0"/>
    <n v="0"/>
    <n v="0.5"/>
    <n v="1.5"/>
    <n v="1.5"/>
    <n v="1.5"/>
    <n v="1.5"/>
    <n v="1.5"/>
    <n v="1.5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2"/>
    <x v="1"/>
    <x v="2"/>
    <x v="17"/>
    <x v="1"/>
    <x v="1"/>
    <x v="2"/>
    <x v="56"/>
    <d v="1899-12-30T00:00:00"/>
    <d v="1899-12-30T00:00:00"/>
    <n v="0"/>
    <n v="0"/>
    <n v="0"/>
    <n v="0"/>
    <n v="0"/>
    <n v="0.5"/>
    <n v="0.5"/>
    <n v="1"/>
    <n v="1"/>
    <n v="1"/>
    <n v="1"/>
    <n v="0.5"/>
    <n v="0.5"/>
    <n v="0.5"/>
    <n v="0.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3"/>
    <x v="1"/>
    <x v="2"/>
    <x v="17"/>
    <x v="1"/>
    <x v="8"/>
    <x v="3"/>
    <x v="26"/>
    <d v="1899-12-30T00:00:00"/>
    <d v="1899-12-30T00:00:00"/>
    <n v="0"/>
    <n v="0"/>
    <n v="0"/>
    <n v="0"/>
    <n v="0.2"/>
    <n v="0.2"/>
    <n v="0.2"/>
    <n v="0.2"/>
    <n v="0.2"/>
    <n v="0.2"/>
    <n v="0.2"/>
    <n v="0.2"/>
    <n v="0.2"/>
    <n v="0.2"/>
    <n v="0.2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4"/>
    <x v="1"/>
    <x v="2"/>
    <x v="17"/>
    <x v="1"/>
    <x v="8"/>
    <x v="11"/>
    <x v="52"/>
    <d v="1899-12-30T00:00:00"/>
    <d v="1899-12-30T00:00:00"/>
    <n v="0"/>
    <n v="0"/>
    <n v="0"/>
    <n v="0"/>
    <n v="1"/>
    <n v="1"/>
    <n v="1"/>
    <n v="1"/>
    <n v="1"/>
    <n v="1"/>
    <n v="1"/>
    <n v="1"/>
    <n v="1"/>
    <n v="1"/>
    <n v="1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n v="15"/>
    <x v="1"/>
    <x v="2"/>
    <x v="17"/>
    <x v="4"/>
    <x v="9"/>
    <x v="12"/>
    <x v="31"/>
    <d v="1899-12-30T00:00:00"/>
    <d v="1899-12-30T00:00:00"/>
    <n v="0"/>
    <n v="0"/>
    <n v="0"/>
    <n v="0"/>
    <s v="G2"/>
    <n v="0"/>
    <n v="0"/>
    <n v="0"/>
    <n v="0"/>
    <n v="0"/>
    <n v="0"/>
    <n v="0"/>
    <n v="0"/>
    <n v="0"/>
    <s v="G5"/>
    <n v="0"/>
    <n v="0"/>
    <n v="0"/>
    <n v="0"/>
    <n v="0"/>
    <n v="0"/>
    <x v="0"/>
    <x v="0"/>
    <n v="0"/>
    <n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</r>
  <r>
    <m/>
    <x v="5"/>
    <x v="9"/>
    <x v="18"/>
    <x v="6"/>
    <x v="11"/>
    <x v="14"/>
    <x v="63"/>
    <m/>
    <m/>
    <m/>
    <m/>
    <m/>
    <m/>
    <m/>
    <m/>
    <m/>
    <m/>
    <m/>
    <m/>
    <m/>
    <m/>
    <m/>
    <m/>
    <m/>
    <m/>
    <m/>
    <m/>
    <m/>
    <m/>
    <m/>
    <x v="9"/>
    <x v="9"/>
    <m/>
    <m/>
    <x v="9"/>
    <x v="8"/>
    <x v="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D0286-F7BE-4DB5-BDE0-ED2A37D9308D}" name="PivotTable1" cacheId="207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2:AA32" firstHeaderRow="0" firstDataRow="1" firstDataCol="1"/>
  <pivotFields count="52">
    <pivotField showAll="0"/>
    <pivotField showAll="0"/>
    <pivotField showAll="0"/>
    <pivotField showAll="0"/>
    <pivotField showAll="0"/>
    <pivotField showAll="0"/>
    <pivotField axis="axisRow" showAll="0">
      <items count="14">
        <item h="1" x="0"/>
        <item h="1" x="1"/>
        <item x="11"/>
        <item h="1" x="7"/>
        <item x="8"/>
        <item x="2"/>
        <item x="6"/>
        <item x="9"/>
        <item x="10"/>
        <item x="4"/>
        <item x="3"/>
        <item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dataFields count="26">
    <dataField name="합계 : 25-Nov" fld="14" baseField="0" baseItem="0"/>
    <dataField name="합계 : 25-Dec" fld="15" baseField="0" baseItem="0"/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75217-8B62-44C1-9CF5-ACCA91890F83}" name="PivotTable2" cacheId="207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7:AA42" firstHeaderRow="0" firstDataRow="1" firstDataCol="1"/>
  <pivotFields count="52">
    <pivotField showAll="0"/>
    <pivotField showAll="0"/>
    <pivotField showAll="0"/>
    <pivotField showAll="0"/>
    <pivotField axis="axisRow" showAll="0">
      <items count="6">
        <item sd="0" x="3"/>
        <item sd="0" x="0"/>
        <item sd="0" x="2"/>
        <item sd="0" x="1"/>
        <item x="4"/>
        <item t="default"/>
      </items>
    </pivotField>
    <pivotField showAll="0"/>
    <pivotField axis="axisRow" showAll="0">
      <items count="14">
        <item x="0"/>
        <item x="1"/>
        <item x="11"/>
        <item x="7"/>
        <item x="8"/>
        <item x="2"/>
        <item x="6"/>
        <item x="9"/>
        <item x="10"/>
        <item x="4"/>
        <item x="3"/>
        <item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dataFields count="26">
    <dataField name="합계 : 25-Nov" fld="14" baseField="0" baseItem="0"/>
    <dataField name="합계 : 25-Dec" fld="15" baseField="0" baseItem="0"/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02DEE-B5F6-4819-BA26-DF3D67D970D3}" name="피벗 테이블2" cacheId="207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AA12" firstHeaderRow="0" firstDataRow="1" firstDataCol="1"/>
  <pivotFields count="52"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dataFields count="26">
    <dataField name="합계 : 25-Nov" fld="14" baseField="0" baseItem="0"/>
    <dataField name="합계 : 25-Dec" fld="15" baseField="0" baseItem="0"/>
    <dataField name="합계 : 26-Jan" fld="16" baseField="0" baseItem="0"/>
    <dataField name="합계 : 26-Feb" fld="17" baseField="0" baseItem="0"/>
    <dataField name="합계 : 26-Mar" fld="18" baseField="0" baseItem="0"/>
    <dataField name="합계 : 26-Apr" fld="19" baseField="0" baseItem="0"/>
    <dataField name="합계 : 26-May" fld="20" baseField="0" baseItem="0"/>
    <dataField name="합계 : 26-Jun" fld="21" baseField="0" baseItem="0"/>
    <dataField name="합계 : 26-Jul" fld="22" baseField="0" baseItem="0"/>
    <dataField name="합계 : 26-Aug" fld="23" baseField="0" baseItem="0"/>
    <dataField name="합계 : 26-Sep" fld="24" baseField="0" baseItem="0"/>
    <dataField name="합계 : 26-Oct" fld="25" baseField="0" baseItem="0"/>
    <dataField name="합계 : 26-Nov" fld="26" baseField="0" baseItem="0"/>
    <dataField name="합계 : 26-Dec" fld="27" baseField="0" baseItem="0"/>
    <dataField name="Sum of 27-Jan" fld="28" baseField="0" baseItem="0"/>
    <dataField name="Sum of 27-Feb" fld="29" baseField="0" baseItem="0"/>
    <dataField name="Sum of 27-Mar" fld="30" baseField="0" baseItem="0"/>
    <dataField name="Sum of 27-Apr" fld="31" baseField="0" baseItem="0"/>
    <dataField name="Sum of 27-May" fld="32" baseField="0" baseItem="0"/>
    <dataField name="Sum of 27-Jun" fld="33" baseField="0" baseItem="0"/>
    <dataField name="Sum of 27-Jul" fld="34" baseField="0" baseItem="0"/>
    <dataField name="Sum of 27-Aug" fld="35" baseField="0" baseItem="0"/>
    <dataField name="Sum of 27-Sep" fld="36" baseField="0" baseItem="0"/>
    <dataField name="Sum of 27-Oct" fld="37" baseField="0" baseItem="0"/>
    <dataField name="Sum of 27-Nov" fld="38" baseField="0" baseItem="0"/>
    <dataField name="Sum of 27-Dec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4F31B-E5A4-408B-B6C0-04916A56BD43}" name="피벗 테이블4" cacheId="20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2:V17" firstHeaderRow="0" firstDataRow="1" firstDataCol="1" rowPageCount="2" colPageCount="1"/>
  <pivotFields count="53">
    <pivotField showAll="0"/>
    <pivotField axis="axisPage" multipleItemSelectionAllowed="1" showAll="0">
      <items count="8">
        <item m="1" x="6"/>
        <item x="0"/>
        <item h="1" x="1"/>
        <item h="1" x="4"/>
        <item x="3"/>
        <item h="1" x="5"/>
        <item h="1" x="2"/>
        <item t="default"/>
      </items>
    </pivotField>
    <pivotField showAll="0"/>
    <pivotField axis="axisPage" showAll="0">
      <items count="24">
        <item x="17"/>
        <item x="13"/>
        <item x="3"/>
        <item m="1" x="20"/>
        <item x="16"/>
        <item x="0"/>
        <item x="8"/>
        <item x="9"/>
        <item m="1" x="22"/>
        <item x="4"/>
        <item x="15"/>
        <item x="12"/>
        <item x="11"/>
        <item x="14"/>
        <item m="1" x="19"/>
        <item x="5"/>
        <item x="6"/>
        <item m="1" x="21"/>
        <item x="1"/>
        <item x="10"/>
        <item x="7"/>
        <item x="2"/>
        <item x="18"/>
        <item t="default"/>
      </items>
    </pivotField>
    <pivotField axis="axisRow" showAll="0">
      <items count="8">
        <item h="1" x="4"/>
        <item sd="0" x="1"/>
        <item sd="0" x="3"/>
        <item sd="0" x="0"/>
        <item sd="0" x="2"/>
        <item h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7"/>
        <item x="6"/>
        <item x="9"/>
        <item x="8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6"/>
        <item x="9"/>
        <item x="7"/>
        <item x="8"/>
        <item t="default"/>
      </items>
    </pivotField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8"/>
        <item x="9"/>
        <item x="6"/>
        <item x="7"/>
        <item t="default"/>
      </items>
    </pivotField>
    <pivotField axis="axisRow" showAll="0">
      <items count="10">
        <item x="0"/>
        <item x="3"/>
        <item x="4"/>
        <item x="2"/>
        <item x="1"/>
        <item x="5"/>
        <item x="6"/>
        <item x="8"/>
        <item x="7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9"/>
        <item x="6"/>
        <item x="7"/>
        <item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6">
    <field x="4"/>
    <field x="31"/>
    <field x="32"/>
    <field x="35"/>
    <field x="36"/>
    <field x="37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pageFields count="2">
    <pageField fld="3" hier="-1"/>
    <pageField fld="1" hier="-1"/>
  </pageFields>
  <dataFields count="21">
    <dataField name="합계 : 25-Nov" fld="15" baseField="3" baseItem="0"/>
    <dataField name="합계 : 25-Dec" fld="16" baseField="3" baseItem="0"/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합계 : 26-Sep" fld="25" baseField="3" baseItem="0"/>
    <dataField name="합계 : 26-Oct" fld="26" baseField="0" baseItem="0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Sum of 27-May" fld="33" baseField="0" baseItem="0"/>
    <dataField name="Sum of 27-Jun" fld="34" baseField="0" baseItem="0"/>
    <dataField name="Sum of 27-Oct" fld="38" baseField="0" baseItem="0"/>
    <dataField name="Sum of 27-Nov" fld="39" baseField="0" baseItem="0"/>
    <dataField name="Sum of 27-Dec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DDE35-DB59-481C-9673-541D2BE78772}" name="피벗 테이블5" cacheId="20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9:V23" firstHeaderRow="0" firstDataRow="1" firstDataCol="1" rowPageCount="2" colPageCount="1"/>
  <pivotFields count="53">
    <pivotField showAll="0"/>
    <pivotField axis="axisPage" multipleItemSelectionAllowed="1" showAll="0">
      <items count="8">
        <item x="0"/>
        <item h="1" x="4"/>
        <item x="3"/>
        <item h="1" x="5"/>
        <item h="1" m="1" x="6"/>
        <item h="1" x="1"/>
        <item h="1" x="2"/>
        <item t="default"/>
      </items>
    </pivotField>
    <pivotField showAll="0"/>
    <pivotField axis="axisRow" showAll="0">
      <items count="24">
        <item sd="0" x="17"/>
        <item sd="0" x="13"/>
        <item sd="0" x="3"/>
        <item sd="0" x="16"/>
        <item sd="0" x="0"/>
        <item sd="0" x="9"/>
        <item sd="0" m="1" x="22"/>
        <item sd="0" x="12"/>
        <item sd="0" x="11"/>
        <item sd="0" m="1" x="19"/>
        <item sd="0" x="6"/>
        <item sd="0" x="1"/>
        <item sd="0" x="10"/>
        <item sd="0" x="7"/>
        <item sd="0" x="2"/>
        <item sd="0" x="18"/>
        <item m="1" x="21"/>
        <item sd="0" x="4"/>
        <item sd="0" m="1" x="20"/>
        <item sd="0" x="8"/>
        <item sd="0" x="5"/>
        <item sd="0" x="14"/>
        <item sd="0" x="15"/>
        <item t="default"/>
      </items>
    </pivotField>
    <pivotField axis="axisRow" showAll="0">
      <items count="8">
        <item sd="0" x="4"/>
        <item sd="0" x="1"/>
        <item sd="0" x="3"/>
        <item sd="0" x="0"/>
        <item sd="0" x="2"/>
        <item x="6"/>
        <item x="5"/>
        <item t="default"/>
      </items>
    </pivotField>
    <pivotField axis="axisRow" showAll="0">
      <items count="13">
        <item x="9"/>
        <item x="5"/>
        <item x="8"/>
        <item x="3"/>
        <item x="6"/>
        <item x="1"/>
        <item x="0"/>
        <item x="2"/>
        <item x="7"/>
        <item x="4"/>
        <item x="11"/>
        <item x="10"/>
        <item t="default"/>
      </items>
    </pivotField>
    <pivotField axis="axisPage" multipleItemSelectionAllowed="1" showAll="0">
      <items count="16">
        <item x="12"/>
        <item x="10"/>
        <item x="8"/>
        <item x="11"/>
        <item x="3"/>
        <item x="5"/>
        <item x="9"/>
        <item x="7"/>
        <item x="1"/>
        <item x="2"/>
        <item x="0"/>
        <item x="4"/>
        <item x="14"/>
        <item x="6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7"/>
        <item x="6"/>
        <item x="9"/>
        <item x="8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6"/>
        <item x="9"/>
        <item x="7"/>
        <item x="8"/>
        <item t="default"/>
      </items>
    </pivotField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8"/>
        <item x="9"/>
        <item x="6"/>
        <item x="7"/>
        <item t="default"/>
      </items>
    </pivotField>
    <pivotField axis="axisRow" showAll="0">
      <items count="10">
        <item x="0"/>
        <item x="3"/>
        <item x="4"/>
        <item x="2"/>
        <item x="1"/>
        <item x="5"/>
        <item x="6"/>
        <item x="8"/>
        <item x="7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9"/>
        <item x="6"/>
        <item x="7"/>
        <item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8">
    <field x="3"/>
    <field x="4"/>
    <field x="5"/>
    <field x="31"/>
    <field x="32"/>
    <field x="35"/>
    <field x="36"/>
    <field x="37"/>
  </rowFields>
  <rowItems count="14">
    <i>
      <x v="2"/>
    </i>
    <i>
      <x v="4"/>
    </i>
    <i>
      <x v="5"/>
    </i>
    <i>
      <x v="8"/>
    </i>
    <i>
      <x v="10"/>
    </i>
    <i>
      <x v="11"/>
    </i>
    <i>
      <x v="12"/>
    </i>
    <i>
      <x v="13"/>
    </i>
    <i>
      <x v="14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pageFields count="2">
    <pageField fld="1" hier="-1"/>
    <pageField fld="6" hier="-1"/>
  </pageFields>
  <dataFields count="21">
    <dataField name="합계 : 25-Nov" fld="15" baseField="2" baseItem="0"/>
    <dataField name="합계 : 25-Dec" fld="16" baseField="2" baseItem="0"/>
    <dataField name="합계 : 26-Jan" fld="17" baseField="2" baseItem="0"/>
    <dataField name="합계 : 26-Feb" fld="18" baseField="2" baseItem="0"/>
    <dataField name="합계 : 26-Mar" fld="19" baseField="2" baseItem="0"/>
    <dataField name="합계 : 26-Apr" fld="20" baseField="2" baseItem="0"/>
    <dataField name="합계 : 26-May" fld="21" baseField="2" baseItem="0"/>
    <dataField name="합계 : 26-Jun" fld="22" baseField="2" baseItem="0"/>
    <dataField name="합계 : 26-Jul" fld="23" baseField="2" baseItem="0"/>
    <dataField name="합계 : 26-Aug" fld="24" baseField="0" baseItem="0"/>
    <dataField name="합계 : 26-Sep" fld="25" baseField="2" baseItem="0"/>
    <dataField name="합계 : 26-Oct" fld="26" baseField="0" baseItem="0"/>
    <dataField name="합계 : 26-Nov" fld="27" baseField="2" baseItem="0"/>
    <dataField name="합계 : 26-Dec" fld="28" baseField="2" baseItem="0"/>
    <dataField name="Sum of 27-Jan" fld="29" baseField="0" baseItem="0"/>
    <dataField name="Sum of 27-Feb" fld="30" baseField="0" baseItem="0"/>
    <dataField name="Sum of 27-May" fld="33" baseField="0" baseItem="0"/>
    <dataField name="Sum of 27-Jun" fld="34" baseField="0" baseItem="0"/>
    <dataField name="Sum of 27-Oct" fld="38" baseField="0" baseItem="0"/>
    <dataField name="Sum of 27-Nov" fld="39" baseField="0" baseItem="0"/>
    <dataField name="Sum of 27-Dec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4FB04-A888-4496-BAE0-0291227AF0CB}" name="PivotTable1" cacheId="20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41:T55" firstHeaderRow="0" firstDataRow="1" firstDataCol="1" rowPageCount="3" colPageCount="1"/>
  <pivotFields count="53">
    <pivotField showAll="0"/>
    <pivotField axis="axisPage" multipleItemSelectionAllowed="1" showAll="0">
      <items count="8">
        <item x="0"/>
        <item h="1" x="4"/>
        <item x="3"/>
        <item h="1" x="5"/>
        <item m="1" x="6"/>
        <item h="1" x="1"/>
        <item h="1" x="2"/>
        <item t="default"/>
      </items>
    </pivotField>
    <pivotField axis="axisPage" multipleItemSelectionAllowed="1" showAll="0">
      <items count="11">
        <item x="6"/>
        <item x="4"/>
        <item x="8"/>
        <item x="2"/>
        <item x="7"/>
        <item x="0"/>
        <item x="9"/>
        <item x="5"/>
        <item x="1"/>
        <item x="3"/>
        <item t="default"/>
      </items>
    </pivotField>
    <pivotField axis="axisRow" multipleItemSelectionAllowed="1" showAll="0">
      <items count="24">
        <item x="17"/>
        <item sd="0" x="13"/>
        <item sd="0" x="3"/>
        <item x="16"/>
        <item sd="0" x="0"/>
        <item sd="0" x="9"/>
        <item m="1" x="22"/>
        <item sd="0" x="12"/>
        <item sd="0" x="11"/>
        <item sd="0" m="1" x="19"/>
        <item sd="0" x="6"/>
        <item sd="0" x="1"/>
        <item sd="0" x="10"/>
        <item sd="0" x="7"/>
        <item sd="0" x="2"/>
        <item x="18"/>
        <item m="1" x="21"/>
        <item sd="0" x="4"/>
        <item sd="0" m="1" x="20"/>
        <item sd="0" x="8"/>
        <item sd="0" x="5"/>
        <item sd="0" x="14"/>
        <item sd="0" x="15"/>
        <item t="default"/>
      </items>
    </pivotField>
    <pivotField axis="axisPage" multipleItemSelectionAllowed="1" showAll="0">
      <items count="8">
        <item x="4"/>
        <item x="1"/>
        <item x="3"/>
        <item x="0"/>
        <item x="2"/>
        <item x="6"/>
        <item x="5"/>
        <item t="default"/>
      </items>
    </pivotField>
    <pivotField showAll="0"/>
    <pivotField axis="axisRow" showAll="0" sortType="ascending">
      <items count="16">
        <item h="1" x="12"/>
        <item h="1" x="13"/>
        <item h="1" x="10"/>
        <item h="1" x="8"/>
        <item x="11"/>
        <item h="1" x="3"/>
        <item x="5"/>
        <item x="9"/>
        <item x="7"/>
        <item x="1"/>
        <item x="2"/>
        <item x="0"/>
        <item x="6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7"/>
        <item x="6"/>
        <item x="9"/>
        <item x="8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6"/>
        <item x="9"/>
        <item x="7"/>
        <item x="8"/>
        <item t="default"/>
      </items>
    </pivotField>
    <pivotField dataField="1" showAll="0"/>
    <pivotField dataField="1" showAll="0"/>
    <pivotField axis="axisRow" showAll="0">
      <items count="11">
        <item x="0"/>
        <item x="3"/>
        <item x="4"/>
        <item x="2"/>
        <item x="1"/>
        <item x="5"/>
        <item x="8"/>
        <item x="9"/>
        <item x="6"/>
        <item x="7"/>
        <item t="default"/>
      </items>
    </pivotField>
    <pivotField axis="axisRow" showAll="0">
      <items count="10">
        <item x="0"/>
        <item x="3"/>
        <item x="4"/>
        <item x="2"/>
        <item x="1"/>
        <item x="5"/>
        <item x="6"/>
        <item x="8"/>
        <item x="7"/>
        <item t="default"/>
      </items>
    </pivotField>
    <pivotField axis="axisRow" showAll="0">
      <items count="11">
        <item x="0"/>
        <item x="3"/>
        <item x="4"/>
        <item x="2"/>
        <item x="1"/>
        <item x="5"/>
        <item x="9"/>
        <item x="6"/>
        <item x="7"/>
        <item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7">
    <field x="3"/>
    <field x="6"/>
    <field x="31"/>
    <field x="32"/>
    <field x="35"/>
    <field x="36"/>
    <field x="37"/>
  </rowFields>
  <rowItems count="14">
    <i>
      <x v="2"/>
    </i>
    <i>
      <x v="4"/>
    </i>
    <i>
      <x v="5"/>
    </i>
    <i>
      <x v="8"/>
    </i>
    <i>
      <x v="10"/>
    </i>
    <i>
      <x v="11"/>
    </i>
    <i>
      <x v="12"/>
    </i>
    <i>
      <x v="13"/>
    </i>
    <i>
      <x v="14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3">
    <pageField fld="4" hier="-1"/>
    <pageField fld="1" hier="-1"/>
    <pageField fld="2" hier="-1"/>
  </pageFields>
  <dataFields count="19">
    <dataField name="합계 : 25-Nov" fld="15" baseField="3" baseItem="0"/>
    <dataField name="합계 : 25-Dec" fld="16" baseField="3" baseItem="0"/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Sum of 27-May" fld="33" baseField="0" baseItem="0"/>
    <dataField name="Sum of 27-Jun" fld="34" baseField="0" baseItem="0"/>
    <dataField name="Sum of 27-Oct" fld="38" baseField="0" baseItem="0"/>
    <dataField name="Sum of 27-Nov" fld="39" baseField="0" baseItem="0"/>
    <dataField name="Sum of 27-Dec" fld="40" baseField="0" baseItem="0"/>
  </dataFields>
  <formats count="4"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>
            <x v="7"/>
          </reference>
        </references>
      </pivotArea>
    </format>
    <format dxfId="15">
      <pivotArea dataOnly="0" labelOnly="1" fieldPosition="0">
        <references count="1">
          <reference field="3" count="1">
            <x v="21"/>
          </reference>
        </references>
      </pivotArea>
    </format>
    <format dxfId="16">
      <pivotArea dataOnly="0" labelOnly="1" fieldPosition="0">
        <references count="1">
          <reference field="3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A0077-E5FB-4DA9-854E-C4E2CFD7D5A3}" name="PivotTable2" cacheId="20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0:AA30" firstHeaderRow="0" firstDataRow="1" firstDataCol="1" rowPageCount="4" colPageCount="1"/>
  <pivotFields count="53">
    <pivotField showAll="0"/>
    <pivotField axis="axisPage" multipleItemSelectionAllowed="1" showAll="0">
      <items count="8">
        <item x="0"/>
        <item h="1" x="4"/>
        <item x="3"/>
        <item h="1" x="5"/>
        <item m="1" x="6"/>
        <item h="1" x="1"/>
        <item h="1" x="2"/>
        <item t="default"/>
      </items>
    </pivotField>
    <pivotField axis="axisPage" multipleItemSelectionAllowed="1" showAll="0">
      <items count="11">
        <item x="6"/>
        <item x="4"/>
        <item x="8"/>
        <item x="2"/>
        <item x="7"/>
        <item x="0"/>
        <item x="9"/>
        <item x="5"/>
        <item x="1"/>
        <item x="3"/>
        <item t="default"/>
      </items>
    </pivotField>
    <pivotField axis="axisPage" multipleItemSelectionAllowed="1" showAll="0">
      <items count="24">
        <item x="17"/>
        <item sd="0" x="13"/>
        <item sd="0" x="3"/>
        <item x="16"/>
        <item sd="0" x="0"/>
        <item sd="0" x="9"/>
        <item m="1" x="22"/>
        <item h="1" sd="0" x="12"/>
        <item sd="0" x="11"/>
        <item sd="0" m="1" x="19"/>
        <item sd="0" x="6"/>
        <item sd="0" x="1"/>
        <item sd="0" x="10"/>
        <item sd="0" x="7"/>
        <item sd="0" x="2"/>
        <item x="18"/>
        <item m="1" x="21"/>
        <item sd="0" x="4"/>
        <item sd="0" m="1" x="20"/>
        <item sd="0" x="8"/>
        <item sd="0" x="5"/>
        <item sd="0" x="14"/>
        <item sd="0" x="15"/>
        <item t="default"/>
      </items>
    </pivotField>
    <pivotField axis="axisPage" multipleItemSelectionAllowed="1" showAll="0">
      <items count="8">
        <item x="4"/>
        <item x="1"/>
        <item x="3"/>
        <item x="0"/>
        <item x="2"/>
        <item x="6"/>
        <item x="5"/>
        <item t="default"/>
      </items>
    </pivotField>
    <pivotField showAll="0"/>
    <pivotField axis="axisRow" showAll="0" sortType="ascending">
      <items count="16">
        <item h="1" x="12"/>
        <item h="1" x="13"/>
        <item h="1" x="10"/>
        <item h="1" x="8"/>
        <item x="11"/>
        <item h="1" x="3"/>
        <item x="5"/>
        <item x="9"/>
        <item x="7"/>
        <item x="1"/>
        <item x="2"/>
        <item x="0"/>
        <item x="6"/>
        <item x="4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4">
    <pageField fld="4" hier="-1"/>
    <pageField fld="1" hier="-1"/>
    <pageField fld="2" hier="-1"/>
    <pageField fld="3" hier="-1"/>
  </pageFields>
  <dataFields count="26">
    <dataField name="합계 : 25-Nov" fld="15" baseField="3" baseItem="0"/>
    <dataField name="합계 : 25-Dec" fld="16" baseField="3" baseItem="0"/>
    <dataField name="합계 : 26-Jan" fld="17" baseField="3" baseItem="0"/>
    <dataField name="합계 : 26-Feb" fld="18" baseField="3" baseItem="0"/>
    <dataField name="합계 : 26-Mar" fld="19" baseField="3" baseItem="0"/>
    <dataField name="합계 : 26-Apr" fld="20" baseField="3" baseItem="0"/>
    <dataField name="합계 : 26-May" fld="21" baseField="3" baseItem="0"/>
    <dataField name="합계 : 26-Jun" fld="22" baseField="3" baseItem="0"/>
    <dataField name="합계 : 26-Jul" fld="23" baseField="3" baseItem="0"/>
    <dataField name="합계 : 26-Aug" fld="24" baseField="0" baseItem="0"/>
    <dataField name="Sum of 26-Sep" fld="25" baseField="0" baseItem="0"/>
    <dataField name="Sum of 26-Oct" fld="26" baseField="0" baseItem="0"/>
    <dataField name="합계 : 26-Nov" fld="27" baseField="3" baseItem="0"/>
    <dataField name="합계 : 26-Dec" fld="28" baseField="3" baseItem="0"/>
    <dataField name="Sum of 27-Jan" fld="29" baseField="0" baseItem="0"/>
    <dataField name="Sum of 27-Feb" fld="30" baseField="0" baseItem="0"/>
    <dataField name="합계 : 27-Mar" fld="31" baseField="6" baseItem="9"/>
    <dataField name="합계 : 27-Apr" fld="32" baseField="6" baseItem="9"/>
    <dataField name="Sum of 27-May" fld="33" baseField="0" baseItem="0"/>
    <dataField name="Sum of 27-Jun" fld="34" baseField="0" baseItem="0"/>
    <dataField name="합계 : 27-Jul" fld="35" baseField="6" baseItem="8"/>
    <dataField name="합계 : 27-Aug" fld="36" baseField="6" baseItem="8"/>
    <dataField name="합계 : 27-Sep" fld="37" baseField="6" baseItem="8"/>
    <dataField name="Sum of 27-Oct" fld="38" baseField="0" baseItem="0"/>
    <dataField name="Sum of 27-Nov" fld="39" baseField="0" baseItem="0"/>
    <dataField name="Sum of 27-Dec" fld="40" baseField="0" baseItem="0"/>
  </dataFields>
  <formats count="2">
    <format dxfId="11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dataOnly="0" labelOnly="1" fieldPosition="0">
        <references count="1">
          <reference field="3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194EC-06E6-4DE3-8232-3FABC8214102}" name="피벗 테이블6" cacheId="20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5:T100" firstHeaderRow="0" firstDataRow="1" firstDataCol="1" rowPageCount="2" colPageCount="1"/>
  <pivotFields count="53">
    <pivotField showAll="0"/>
    <pivotField axis="axisPage" multipleItemSelectionAllowed="1" showAll="0">
      <items count="8">
        <item x="0"/>
        <item h="1" x="4"/>
        <item h="1" x="3"/>
        <item h="1" x="5"/>
        <item h="1" m="1" x="6"/>
        <item h="1" x="1"/>
        <item h="1" x="2"/>
        <item t="default"/>
      </items>
    </pivotField>
    <pivotField showAll="0"/>
    <pivotField axis="axisRow" multipleItemSelectionAllowed="1" showAll="0">
      <items count="24">
        <item x="17"/>
        <item x="13"/>
        <item x="3"/>
        <item x="16"/>
        <item x="0"/>
        <item x="9"/>
        <item m="1" x="22"/>
        <item x="12"/>
        <item x="11"/>
        <item m="1" x="19"/>
        <item x="6"/>
        <item x="1"/>
        <item x="10"/>
        <item x="7"/>
        <item x="2"/>
        <item x="18"/>
        <item m="1" x="21"/>
        <item x="4"/>
        <item m="1" x="20"/>
        <item x="8"/>
        <item x="5"/>
        <item x="14"/>
        <item x="15"/>
        <item t="default"/>
      </items>
    </pivotField>
    <pivotField axis="axisPage" multipleItemSelectionAllowed="1" showAll="0">
      <items count="8">
        <item h="1" x="4"/>
        <item x="1"/>
        <item x="3"/>
        <item x="0"/>
        <item x="2"/>
        <item h="1" x="6"/>
        <item h="1" x="5"/>
        <item t="default"/>
      </items>
    </pivotField>
    <pivotField axis="axisRow" showAll="0">
      <items count="13">
        <item sd="0" x="9"/>
        <item x="5"/>
        <item sd="0" x="8"/>
        <item sd="0" x="3"/>
        <item sd="0" x="6"/>
        <item x="1"/>
        <item x="0"/>
        <item x="2"/>
        <item x="7"/>
        <item x="4"/>
        <item sd="0" x="11"/>
        <item x="10"/>
        <item t="default"/>
      </items>
    </pivotField>
    <pivotField axis="axisRow" showAll="0">
      <items count="16">
        <item x="12"/>
        <item x="10"/>
        <item x="8"/>
        <item x="11"/>
        <item sd="0" x="3"/>
        <item sd="0" x="5"/>
        <item x="9"/>
        <item x="7"/>
        <item x="1"/>
        <item x="2"/>
        <item x="0"/>
        <item x="4"/>
        <item x="14"/>
        <item x="6"/>
        <item x="13"/>
        <item t="default"/>
      </items>
    </pivotField>
    <pivotField axis="axisRow" showAll="0">
      <items count="65">
        <item sd="0" x="40"/>
        <item sd="0" x="37"/>
        <item x="3"/>
        <item sd="0" x="38"/>
        <item sd="0" x="48"/>
        <item x="1"/>
        <item sd="0" x="18"/>
        <item sd="0" x="11"/>
        <item sd="0" x="29"/>
        <item x="44"/>
        <item sd="0" x="27"/>
        <item sd="0" x="16"/>
        <item sd="0" x="14"/>
        <item sd="0" x="52"/>
        <item sd="0" x="19"/>
        <item sd="0" x="55"/>
        <item x="43"/>
        <item sd="0" x="13"/>
        <item sd="0" x="32"/>
        <item sd="0" x="54"/>
        <item sd="0" x="39"/>
        <item sd="0" x="31"/>
        <item sd="0" x="5"/>
        <item sd="0" x="9"/>
        <item sd="0" x="58"/>
        <item x="35"/>
        <item sd="0" x="33"/>
        <item sd="0" x="42"/>
        <item sd="0" x="17"/>
        <item sd="0" x="15"/>
        <item sd="0" x="20"/>
        <item sd="0" x="12"/>
        <item sd="0" x="7"/>
        <item sd="0" x="24"/>
        <item sd="0" x="26"/>
        <item sd="0" x="50"/>
        <item sd="0" x="47"/>
        <item sd="0" x="30"/>
        <item sd="0" x="46"/>
        <item sd="0" x="57"/>
        <item sd="0" x="49"/>
        <item sd="0" x="25"/>
        <item x="8"/>
        <item sd="0" x="36"/>
        <item sd="0" x="59"/>
        <item x="2"/>
        <item sd="0" x="10"/>
        <item sd="0" x="6"/>
        <item x="4"/>
        <item sd="0" x="61"/>
        <item x="28"/>
        <item sd="0" x="51"/>
        <item sd="0" x="23"/>
        <item x="56"/>
        <item sd="0" x="0"/>
        <item sd="0" x="60"/>
        <item sd="0" x="21"/>
        <item sd="0" x="41"/>
        <item sd="0" x="34"/>
        <item sd="0" x="53"/>
        <item sd="0" x="63"/>
        <item sd="0" x="62"/>
        <item x="45"/>
        <item x="22"/>
        <item t="default" sd="0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5"/>
    <field x="6"/>
    <field x="7"/>
    <field x="3"/>
  </rowFields>
  <rowItems count="95">
    <i>
      <x/>
    </i>
    <i>
      <x v="1"/>
    </i>
    <i r="1">
      <x v="1"/>
    </i>
    <i r="2">
      <x v="33"/>
    </i>
    <i r="1">
      <x v="2"/>
    </i>
    <i r="2">
      <x v="12"/>
    </i>
    <i r="2">
      <x v="31"/>
    </i>
    <i r="2">
      <x v="41"/>
    </i>
    <i>
      <x v="2"/>
    </i>
    <i>
      <x v="3"/>
    </i>
    <i>
      <x v="4"/>
    </i>
    <i>
      <x v="5"/>
    </i>
    <i r="1">
      <x v="4"/>
    </i>
    <i r="1">
      <x v="8"/>
    </i>
    <i r="2">
      <x v="5"/>
    </i>
    <i r="3">
      <x v="11"/>
    </i>
    <i r="3">
      <x v="12"/>
    </i>
    <i r="3">
      <x v="19"/>
    </i>
    <i r="2">
      <x v="16"/>
    </i>
    <i r="3">
      <x v="12"/>
    </i>
    <i r="3">
      <x v="13"/>
    </i>
    <i r="2">
      <x v="45"/>
    </i>
    <i r="3">
      <x v="11"/>
    </i>
    <i r="3">
      <x v="12"/>
    </i>
    <i r="3">
      <x v="14"/>
    </i>
    <i r="2">
      <x v="48"/>
    </i>
    <i r="3">
      <x v="5"/>
    </i>
    <i r="3">
      <x v="11"/>
    </i>
    <i r="3">
      <x v="12"/>
    </i>
    <i r="3">
      <x v="13"/>
    </i>
    <i r="2">
      <x v="50"/>
    </i>
    <i r="3">
      <x v="10"/>
    </i>
    <i r="3">
      <x v="22"/>
    </i>
    <i r="2">
      <x v="62"/>
    </i>
    <i r="3">
      <x v="13"/>
    </i>
    <i r="1">
      <x v="9"/>
    </i>
    <i r="2">
      <x v="2"/>
    </i>
    <i r="3">
      <x v="11"/>
    </i>
    <i r="3">
      <x v="12"/>
    </i>
    <i r="3">
      <x v="14"/>
    </i>
    <i r="2">
      <x v="9"/>
    </i>
    <i r="3">
      <x v="12"/>
    </i>
    <i r="3">
      <x v="13"/>
    </i>
    <i r="2">
      <x v="42"/>
    </i>
    <i r="3">
      <x v="5"/>
    </i>
    <i r="3">
      <x v="8"/>
    </i>
    <i r="3">
      <x v="10"/>
    </i>
    <i r="3">
      <x v="12"/>
    </i>
    <i r="3">
      <x v="13"/>
    </i>
    <i r="3">
      <x v="19"/>
    </i>
    <i r="2">
      <x v="53"/>
    </i>
    <i r="3">
      <x v="22"/>
    </i>
    <i>
      <x v="6"/>
    </i>
    <i r="1">
      <x v="10"/>
    </i>
    <i r="2">
      <x v="54"/>
    </i>
    <i>
      <x v="7"/>
    </i>
    <i r="1">
      <x v="7"/>
    </i>
    <i r="2">
      <x v="7"/>
    </i>
    <i r="2">
      <x v="35"/>
    </i>
    <i r="1">
      <x v="10"/>
    </i>
    <i r="2">
      <x v="3"/>
    </i>
    <i r="2">
      <x v="8"/>
    </i>
    <i r="2">
      <x v="46"/>
    </i>
    <i r="1">
      <x v="11"/>
    </i>
    <i r="2">
      <x v="47"/>
    </i>
    <i r="1">
      <x v="13"/>
    </i>
    <i r="2">
      <x v="40"/>
    </i>
    <i>
      <x v="8"/>
    </i>
    <i r="1">
      <x v="7"/>
    </i>
    <i r="2">
      <x v="52"/>
    </i>
    <i r="1">
      <x v="10"/>
    </i>
    <i r="2">
      <x v="25"/>
    </i>
    <i r="3">
      <x v="8"/>
    </i>
    <i r="3">
      <x v="12"/>
    </i>
    <i r="3">
      <x v="13"/>
    </i>
    <i r="3">
      <x v="22"/>
    </i>
    <i r="2">
      <x v="30"/>
    </i>
    <i r="2">
      <x v="37"/>
    </i>
    <i r="2">
      <x v="63"/>
    </i>
    <i r="3">
      <x v="10"/>
    </i>
    <i r="1">
      <x v="13"/>
    </i>
    <i r="2">
      <x v="6"/>
    </i>
    <i r="2">
      <x v="14"/>
    </i>
    <i>
      <x v="9"/>
    </i>
    <i r="1">
      <x v="7"/>
    </i>
    <i r="2">
      <x v="20"/>
    </i>
    <i r="1">
      <x v="10"/>
    </i>
    <i r="2">
      <x v="1"/>
    </i>
    <i r="2">
      <x v="43"/>
    </i>
    <i r="2">
      <x v="56"/>
    </i>
    <i r="1">
      <x v="13"/>
    </i>
    <i r="2">
      <x v="23"/>
    </i>
    <i r="2">
      <x v="26"/>
    </i>
    <i r="2">
      <x v="58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2">
    <pageField fld="1" hier="-1"/>
    <pageField fld="4" hier="-1"/>
  </pageFields>
  <dataFields count="19">
    <dataField name="합계 : 25-Jun" fld="10" baseField="4" baseItem="0"/>
    <dataField name="합계 : 25-Jul" fld="11" baseField="4" baseItem="0"/>
    <dataField name="합계 : 25-Aug" fld="12" baseField="4" baseItem="0"/>
    <dataField name="합계 : 25-Sep" fld="13" baseField="4" baseItem="0"/>
    <dataField name="합계 : 25-Oct" fld="14" baseField="0" baseItem="0"/>
    <dataField name="합계 : 25-Nov" fld="15" baseField="4" baseItem="0"/>
    <dataField name="합계 : 25-Dec" fld="16" baseField="4" baseItem="0"/>
    <dataField name="합계 : 26-Jan" fld="17" baseField="4" baseItem="0"/>
    <dataField name="합계 : 26-Feb" fld="18" baseField="4" baseItem="0"/>
    <dataField name="합계 : 26-Mar" fld="19" baseField="4" baseItem="0"/>
    <dataField name="합계 : 26-Apr" fld="20" baseField="4" baseItem="0"/>
    <dataField name="합계 : 26-May" fld="21" baseField="4" baseItem="0"/>
    <dataField name="합계 : 26-Jun" fld="22" baseField="4" baseItem="0"/>
    <dataField name="합계 : 26-Jul" fld="23" baseField="4" baseItem="0"/>
    <dataField name="합계 : 26-Aug" fld="24" baseField="0" baseItem="0"/>
    <dataField name="합계 : 26-Sep" fld="25" baseField="4" baseItem="0"/>
    <dataField name="합계 : 26-Oct" fld="26" baseField="0" baseItem="0"/>
    <dataField name="합계 : 26-Nov" fld="27" baseField="4" baseItem="0"/>
    <dataField name="합계 : 26-Dec" fld="28" baseField="4" baseItem="0"/>
  </dataFields>
  <formats count="5">
    <format dxfId="6">
      <pivotArea collapsedLevelsAreSubtotals="1" fieldPosition="0">
        <references count="4">
          <reference field="4294967294" count="5" selected="0">
            <x v="4"/>
            <x v="5"/>
            <x v="6"/>
            <x v="7"/>
            <x v="8"/>
          </reference>
          <reference field="5" count="1" selected="0">
            <x v="3"/>
          </reference>
          <reference field="6" count="1" selected="0">
            <x v="5"/>
          </reference>
          <reference field="7" count="6">
            <x v="11"/>
            <x v="15"/>
            <x v="19"/>
            <x v="27"/>
            <x v="28"/>
            <x v="32"/>
          </reference>
        </references>
      </pivotArea>
    </format>
    <format dxfId="7">
      <pivotArea collapsedLevelsAreSubtotals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9"/>
          </reference>
        </references>
      </pivotArea>
    </format>
    <format dxfId="8">
      <pivotArea dataOnly="0" labelOnly="1" fieldPosition="0">
        <references count="3">
          <reference field="5" count="1" selected="0">
            <x v="3"/>
          </reference>
          <reference field="6" count="1" selected="0">
            <x v="5"/>
          </reference>
          <reference field="7" count="1">
            <x v="19"/>
          </reference>
        </references>
      </pivotArea>
    </format>
    <format dxfId="9">
      <pivotArea collapsedLevelsAreSubtotals="1" fieldPosition="0">
        <references count="3">
          <reference field="5" count="1" selected="0">
            <x v="7"/>
          </reference>
          <reference field="6" count="1" selected="0">
            <x v="11"/>
          </reference>
          <reference field="7" count="1">
            <x v="47"/>
          </reference>
        </references>
      </pivotArea>
    </format>
    <format dxfId="10">
      <pivotArea dataOnly="0" labelOnly="1" fieldPosition="0">
        <references count="3">
          <reference field="5" count="1" selected="0">
            <x v="7"/>
          </reference>
          <reference field="6" count="1" selected="0">
            <x v="11"/>
          </reference>
          <reference field="7" count="1">
            <x v="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5-11-30T05:57:42.95" personId="{46182860-CA87-46F7-9F43-7D0D13F33D5D}" id="{03BC9F82-8AF3-4754-9DFB-5CB7DB99DB09}">
    <text>HRS customer support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1D5-2286-42B3-9BB6-32158087AF03}">
  <sheetPr>
    <tabColor rgb="FF0070C0"/>
  </sheetPr>
  <dimension ref="B2:Q59"/>
  <sheetViews>
    <sheetView zoomScale="70" zoomScaleNormal="70" workbookViewId="0">
      <selection activeCell="AA43" sqref="AA43"/>
    </sheetView>
  </sheetViews>
  <sheetFormatPr defaultRowHeight="16.5"/>
  <cols>
    <col min="1" max="1" width="2.125" customWidth="1"/>
    <col min="2" max="2" width="3.125" customWidth="1"/>
    <col min="3" max="3" width="2.625" customWidth="1"/>
    <col min="4" max="4" width="3.625" customWidth="1"/>
    <col min="5" max="5" width="15.5" customWidth="1"/>
    <col min="6" max="6" width="22.125" bestFit="1" customWidth="1"/>
  </cols>
  <sheetData>
    <row r="2" spans="2:17" ht="26.25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spans="2:17" ht="17.25">
      <c r="B4" s="42" t="s">
        <v>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2:17">
      <c r="C5" t="s">
        <v>2</v>
      </c>
      <c r="D5" s="41" t="s">
        <v>3</v>
      </c>
    </row>
    <row r="6" spans="2:17">
      <c r="C6" t="s">
        <v>4</v>
      </c>
      <c r="D6" t="s">
        <v>5</v>
      </c>
    </row>
    <row r="7" spans="2:17">
      <c r="C7" t="s">
        <v>6</v>
      </c>
      <c r="D7" s="46" t="s">
        <v>7</v>
      </c>
    </row>
    <row r="8" spans="2:17">
      <c r="D8" s="1" t="s">
        <v>8</v>
      </c>
      <c r="E8" t="s">
        <v>9</v>
      </c>
    </row>
    <row r="9" spans="2:17">
      <c r="D9" s="1" t="s">
        <v>8</v>
      </c>
      <c r="E9" t="s">
        <v>10</v>
      </c>
    </row>
    <row r="10" spans="2:17">
      <c r="D10">
        <v>1</v>
      </c>
      <c r="E10" t="s">
        <v>11</v>
      </c>
    </row>
    <row r="11" spans="2:17">
      <c r="D11">
        <v>2</v>
      </c>
      <c r="E11" t="s">
        <v>12</v>
      </c>
    </row>
    <row r="12" spans="2:17">
      <c r="D12">
        <v>3</v>
      </c>
      <c r="E12" t="s">
        <v>13</v>
      </c>
    </row>
    <row r="13" spans="2:17">
      <c r="D13">
        <v>4</v>
      </c>
      <c r="E13" t="s">
        <v>14</v>
      </c>
    </row>
    <row r="14" spans="2:17">
      <c r="D14">
        <v>5</v>
      </c>
      <c r="E14" t="s">
        <v>15</v>
      </c>
    </row>
    <row r="38" spans="2:11" s="43" customFormat="1" ht="20.25">
      <c r="B38" s="44" t="s">
        <v>16</v>
      </c>
    </row>
    <row r="39" spans="2:11">
      <c r="C39" t="s">
        <v>2</v>
      </c>
      <c r="D39" t="s">
        <v>17</v>
      </c>
      <c r="F39" s="47" t="s">
        <v>18</v>
      </c>
      <c r="G39" t="s">
        <v>19</v>
      </c>
    </row>
    <row r="40" spans="2:11">
      <c r="C40" t="s">
        <v>4</v>
      </c>
      <c r="D40" t="s">
        <v>20</v>
      </c>
      <c r="F40" t="s">
        <v>21</v>
      </c>
      <c r="G40" t="s">
        <v>22</v>
      </c>
    </row>
    <row r="41" spans="2:11">
      <c r="C41" t="s">
        <v>6</v>
      </c>
      <c r="D41" t="s">
        <v>23</v>
      </c>
      <c r="F41" t="s">
        <v>21</v>
      </c>
      <c r="G41" t="s">
        <v>24</v>
      </c>
    </row>
    <row r="42" spans="2:11">
      <c r="C42" t="s">
        <v>25</v>
      </c>
      <c r="D42" t="s">
        <v>26</v>
      </c>
      <c r="F42" t="s">
        <v>21</v>
      </c>
      <c r="G42" t="s">
        <v>27</v>
      </c>
    </row>
    <row r="43" spans="2:11">
      <c r="C43" t="s">
        <v>28</v>
      </c>
      <c r="D43" t="s">
        <v>29</v>
      </c>
      <c r="F43" t="s">
        <v>21</v>
      </c>
      <c r="G43" t="s">
        <v>30</v>
      </c>
    </row>
    <row r="44" spans="2:11">
      <c r="C44" t="s">
        <v>31</v>
      </c>
      <c r="D44" t="s">
        <v>32</v>
      </c>
      <c r="F44" t="s">
        <v>21</v>
      </c>
      <c r="G44" t="s">
        <v>33</v>
      </c>
    </row>
    <row r="45" spans="2:11">
      <c r="C45" t="s">
        <v>34</v>
      </c>
      <c r="D45" t="s">
        <v>35</v>
      </c>
      <c r="F45" s="47" t="s">
        <v>36</v>
      </c>
      <c r="G45" t="s">
        <v>37</v>
      </c>
      <c r="I45" t="s">
        <v>38</v>
      </c>
    </row>
    <row r="46" spans="2:11">
      <c r="C46" t="s">
        <v>39</v>
      </c>
      <c r="D46" t="s">
        <v>40</v>
      </c>
      <c r="F46" s="47" t="s">
        <v>36</v>
      </c>
      <c r="G46" t="s">
        <v>41</v>
      </c>
      <c r="K46" t="s">
        <v>42</v>
      </c>
    </row>
    <row r="55" spans="2:6" ht="20.25">
      <c r="B55" s="44" t="s">
        <v>43</v>
      </c>
      <c r="C55" s="43"/>
      <c r="D55" s="43"/>
      <c r="E55" s="43"/>
    </row>
    <row r="56" spans="2:6">
      <c r="C56" t="s">
        <v>44</v>
      </c>
      <c r="E56" s="88" t="s">
        <v>45</v>
      </c>
      <c r="F56" s="16" t="s">
        <v>46</v>
      </c>
    </row>
    <row r="57" spans="2:6">
      <c r="C57" t="s">
        <v>47</v>
      </c>
      <c r="E57" s="88">
        <v>45853</v>
      </c>
      <c r="F57" s="6" t="s">
        <v>48</v>
      </c>
    </row>
    <row r="58" spans="2:6">
      <c r="C58" t="s">
        <v>49</v>
      </c>
      <c r="E58" s="88">
        <v>45853</v>
      </c>
      <c r="F58" s="6" t="s">
        <v>50</v>
      </c>
    </row>
    <row r="59" spans="2:6">
      <c r="C59" t="s">
        <v>51</v>
      </c>
      <c r="E59" s="88">
        <v>45861</v>
      </c>
      <c r="F59" s="6" t="s">
        <v>52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AB09-ABEC-4777-9BBA-799CFDE83DCA}">
  <dimension ref="A1:BA1048553"/>
  <sheetViews>
    <sheetView zoomScale="85" zoomScaleNormal="85" workbookViewId="0">
      <selection activeCell="F38" sqref="F38"/>
    </sheetView>
  </sheetViews>
  <sheetFormatPr defaultRowHeight="16.5"/>
  <cols>
    <col min="1" max="1" width="11.5" customWidth="1"/>
    <col min="2" max="2" width="7.625" customWidth="1"/>
    <col min="3" max="3" width="13.125" customWidth="1"/>
    <col min="4" max="4" width="14.625" customWidth="1"/>
    <col min="5" max="5" width="17.125" customWidth="1"/>
    <col min="6" max="7" width="17.125" style="16" customWidth="1"/>
    <col min="8" max="8" width="19.125" bestFit="1" customWidth="1"/>
    <col min="9" max="9" width="10.125" bestFit="1" customWidth="1"/>
  </cols>
  <sheetData>
    <row r="1" spans="1:53" s="16" customFormat="1" ht="27" customHeight="1">
      <c r="A1" s="37"/>
      <c r="B1" s="36" t="str">
        <f>IF($A$1=0,"",VLOOKUP(A1,'Project IO'!$B$4:$C$101,2,FALSE))</f>
        <v/>
      </c>
      <c r="C1" s="36"/>
      <c r="D1" s="38" t="s">
        <v>53</v>
      </c>
      <c r="E1" t="s">
        <v>54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55</v>
      </c>
      <c r="K1" s="16">
        <f t="shared" ref="K1:BA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0</v>
      </c>
      <c r="P1" s="16">
        <f t="shared" si="0"/>
        <v>0</v>
      </c>
      <c r="Q1" s="16">
        <f t="shared" si="0"/>
        <v>0</v>
      </c>
      <c r="R1" s="16">
        <f t="shared" si="0"/>
        <v>0</v>
      </c>
      <c r="S1" s="16">
        <f t="shared" si="0"/>
        <v>0</v>
      </c>
      <c r="T1" s="16">
        <f t="shared" si="0"/>
        <v>0</v>
      </c>
      <c r="U1" s="16">
        <f t="shared" si="0"/>
        <v>0</v>
      </c>
      <c r="V1" s="16">
        <f t="shared" si="0"/>
        <v>0</v>
      </c>
      <c r="W1" s="16">
        <f t="shared" si="0"/>
        <v>0</v>
      </c>
      <c r="X1" s="16">
        <f t="shared" si="0"/>
        <v>0</v>
      </c>
      <c r="Y1" s="16">
        <f t="shared" si="0"/>
        <v>0</v>
      </c>
      <c r="Z1" s="16">
        <f t="shared" si="0"/>
        <v>0</v>
      </c>
      <c r="AA1" s="16">
        <f t="shared" si="0"/>
        <v>0</v>
      </c>
      <c r="AB1" s="16">
        <f t="shared" si="0"/>
        <v>0</v>
      </c>
      <c r="AC1" s="16">
        <f t="shared" si="0"/>
        <v>0</v>
      </c>
      <c r="AD1" s="16">
        <f t="shared" si="0"/>
        <v>0</v>
      </c>
      <c r="AE1" s="16">
        <f t="shared" si="0"/>
        <v>0</v>
      </c>
      <c r="AF1" s="16">
        <f t="shared" si="0"/>
        <v>0</v>
      </c>
      <c r="AG1" s="16">
        <f t="shared" si="0"/>
        <v>0</v>
      </c>
      <c r="AH1" s="16">
        <f t="shared" si="0"/>
        <v>0</v>
      </c>
      <c r="AI1" s="16">
        <f t="shared" si="0"/>
        <v>0</v>
      </c>
      <c r="AJ1" s="16">
        <f t="shared" si="0"/>
        <v>0</v>
      </c>
      <c r="AK1" s="16">
        <f t="shared" si="0"/>
        <v>0</v>
      </c>
      <c r="AL1" s="16">
        <f t="shared" si="0"/>
        <v>0</v>
      </c>
      <c r="AM1" s="16">
        <f t="shared" si="0"/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ht="17.25" thickBot="1">
      <c r="A2" s="34" t="s">
        <v>56</v>
      </c>
      <c r="B2" s="35" t="s">
        <v>57</v>
      </c>
      <c r="C2" s="35" t="s">
        <v>58</v>
      </c>
      <c r="D2" s="35" t="s">
        <v>59</v>
      </c>
      <c r="E2" s="35" t="s">
        <v>60</v>
      </c>
      <c r="F2" s="35" t="s">
        <v>61</v>
      </c>
      <c r="G2" s="35" t="s">
        <v>62</v>
      </c>
      <c r="H2" s="32" t="s">
        <v>63</v>
      </c>
      <c r="I2" s="33" t="s">
        <v>64</v>
      </c>
      <c r="J2" s="33" t="s">
        <v>65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7.25" thickTop="1">
      <c r="A3" s="7">
        <v>1</v>
      </c>
      <c r="B3" s="31" t="str">
        <f>IF($D3=0,"",VLOOKUP($D3,'Project IO'!$B:$E,3,FALSE))</f>
        <v/>
      </c>
      <c r="C3" s="31" t="str">
        <f>IF($D3=0,"",VLOOKUP($D3,'Project IO'!$B:$E,4,FALSE))</f>
        <v/>
      </c>
      <c r="D3" s="31">
        <f>$A$1</f>
        <v>0</v>
      </c>
      <c r="E3" s="31" t="str">
        <f>IF($H3=0,"",VLOOKUP($H3,정원!$D:$G,2,FALSE))</f>
        <v>Engineering</v>
      </c>
      <c r="F3" s="31" t="str">
        <f>IF($H3=0,"",VLOOKUP($H3,정원!$D:$G,3,FALSE))</f>
        <v>* Manager</v>
      </c>
      <c r="G3" s="31" t="str">
        <f>IF($H3=0,"",VLOOKUP($H3,정원!$D:$G,4,FALSE))</f>
        <v>* Eng Manager</v>
      </c>
      <c r="H3" s="7" t="s">
        <v>66</v>
      </c>
      <c r="I3" s="74"/>
      <c r="J3" s="7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>
      <c r="A4" s="7">
        <v>2</v>
      </c>
      <c r="B4" s="31" t="str">
        <f>IF($D4=0,"",VLOOKUP($D4,'Project IO'!$B:$E,3,FALSE))</f>
        <v/>
      </c>
      <c r="C4" s="31" t="str">
        <f>IF($D4=0,"",VLOOKUP($D4,'Project IO'!$B:$E,4,FALSE))</f>
        <v/>
      </c>
      <c r="D4" s="31">
        <f t="shared" ref="D4:D21" si="1">$A$1</f>
        <v>0</v>
      </c>
      <c r="E4" s="31" t="str">
        <f>IF($H4=0,"",VLOOKUP($H4,정원!$D:$G,2,FALSE))</f>
        <v>PMO</v>
      </c>
      <c r="F4" s="31" t="str">
        <f>IF($H4=0,"",VLOOKUP($H4,정원!$D:$G,3,FALSE))</f>
        <v>* Manager</v>
      </c>
      <c r="G4" s="31" t="str">
        <f>IF($H4=0,"",VLOOKUP($H4,정원!$D:$G,4,FALSE))</f>
        <v>* Manager</v>
      </c>
      <c r="H4" s="7" t="s">
        <v>67</v>
      </c>
      <c r="I4" s="74"/>
      <c r="J4" s="7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3">
      <c r="A5" s="7">
        <v>3</v>
      </c>
      <c r="B5" s="31" t="str">
        <f>IF($D5=0,"",VLOOKUP($D5,'Project IO'!$B:$E,3,FALSE))</f>
        <v/>
      </c>
      <c r="C5" s="31" t="str">
        <f>IF($D5=0,"",VLOOKUP($D5,'Project IO'!$B:$E,4,FALSE))</f>
        <v/>
      </c>
      <c r="D5" s="31">
        <f t="shared" si="1"/>
        <v>0</v>
      </c>
      <c r="E5" s="31" t="str">
        <f>IF($H5=0,"",VLOOKUP($H5,정원!$D:$G,2,FALSE))</f>
        <v>PMO</v>
      </c>
      <c r="F5" s="31" t="str">
        <f>IF($H5=0,"",VLOOKUP($H5,정원!$D:$G,3,FALSE))</f>
        <v>PM</v>
      </c>
      <c r="G5" s="31" t="str">
        <f>IF($H5=0,"",VLOOKUP($H5,정원!$D:$G,4,FALSE))</f>
        <v>PM</v>
      </c>
      <c r="H5" s="19" t="s">
        <v>68</v>
      </c>
      <c r="I5" s="74"/>
      <c r="J5" s="7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3">
      <c r="A6" s="7">
        <v>4</v>
      </c>
      <c r="B6" s="31" t="str">
        <f>IF($D6=0,"",VLOOKUP($D6,'Project IO'!$B:$E,3,FALSE))</f>
        <v/>
      </c>
      <c r="C6" s="31" t="str">
        <f>IF($D6=0,"",VLOOKUP($D6,'Project IO'!$B:$E,4,FALSE))</f>
        <v/>
      </c>
      <c r="D6" s="31">
        <f t="shared" si="1"/>
        <v>0</v>
      </c>
      <c r="E6" s="31" t="str">
        <f>IF($H6=0,"",VLOOKUP($H6,정원!$D:$G,2,FALSE))</f>
        <v>NPI IS</v>
      </c>
      <c r="F6" s="31" t="str">
        <f>IF($H6=0,"",VLOOKUP($H6,정원!$D:$G,3,FALSE))</f>
        <v>* Manager</v>
      </c>
      <c r="G6" s="31" t="str">
        <f>IF($H6=0,"",VLOOKUP($H6,정원!$D:$G,4,FALSE))</f>
        <v>* Manager</v>
      </c>
      <c r="H6" s="7" t="s">
        <v>69</v>
      </c>
      <c r="I6" s="74"/>
      <c r="J6" s="7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3">
      <c r="A7" s="7">
        <v>5</v>
      </c>
      <c r="B7" s="31" t="str">
        <f>IF($D7=0,"",VLOOKUP($D7,'Project IO'!$B:$E,3,FALSE))</f>
        <v/>
      </c>
      <c r="C7" s="31" t="str">
        <f>IF($D7=0,"",VLOOKUP($D7,'Project IO'!$B:$E,4,FALSE))</f>
        <v/>
      </c>
      <c r="D7" s="31">
        <f t="shared" si="1"/>
        <v>0</v>
      </c>
      <c r="E7" s="31" t="str">
        <f>IF($H7=0,"",VLOOKUP($H7,정원!$D:$G,2,FALSE))</f>
        <v>NPI IS</v>
      </c>
      <c r="F7" s="31" t="str">
        <f>IF($H7=0,"",VLOOKUP($H7,정원!$D:$G,3,FALSE))</f>
        <v>System □</v>
      </c>
      <c r="G7" s="31" t="str">
        <f>IF($H7=0,"",VLOOKUP($H7,정원!$D:$G,4,FALSE))</f>
        <v>Leader</v>
      </c>
      <c r="H7" s="19" t="s">
        <v>70</v>
      </c>
      <c r="I7" s="74"/>
      <c r="J7" s="7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3">
      <c r="A8" s="7">
        <v>6</v>
      </c>
      <c r="B8" s="31" t="str">
        <f>IF($D8=0,"",VLOOKUP($D8,'Project IO'!$B:$E,3,FALSE))</f>
        <v/>
      </c>
      <c r="C8" s="31" t="str">
        <f>IF($D8=0,"",VLOOKUP($D8,'Project IO'!$B:$E,4,FALSE))</f>
        <v/>
      </c>
      <c r="D8" s="31">
        <f t="shared" si="1"/>
        <v>0</v>
      </c>
      <c r="E8" s="31" t="str">
        <f>IF($H8=0,"",VLOOKUP($H8,정원!$D:$G,2,FALSE))</f>
        <v>NPI IS</v>
      </c>
      <c r="F8" s="31" t="str">
        <f>IF($H8=0,"",VLOOKUP($H8,정원!$D:$G,3,FALSE))</f>
        <v>System □</v>
      </c>
      <c r="G8" s="31" t="str">
        <f>IF($H8=0,"",VLOOKUP($H8,정원!$D:$G,4,FALSE))</f>
        <v>System engineer</v>
      </c>
      <c r="H8" s="19" t="s">
        <v>71</v>
      </c>
      <c r="I8" s="74"/>
      <c r="J8" s="7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3">
      <c r="A9" s="7">
        <v>7</v>
      </c>
      <c r="B9" s="31" t="str">
        <f>IF($D9=0,"",VLOOKUP($D9,'Project IO'!$B:$E,3,FALSE))</f>
        <v/>
      </c>
      <c r="C9" s="31" t="str">
        <f>IF($D9=0,"",VLOOKUP($D9,'Project IO'!$B:$E,4,FALSE))</f>
        <v/>
      </c>
      <c r="D9" s="31">
        <f t="shared" si="1"/>
        <v>0</v>
      </c>
      <c r="E9" s="31" t="str">
        <f>IF($H9=0,"",VLOOKUP($H9,정원!$D:$G,2,FALSE))</f>
        <v>NPI IS</v>
      </c>
      <c r="F9" s="31" t="str">
        <f>IF($H9=0,"",VLOOKUP($H9,정원!$D:$G,3,FALSE))</f>
        <v>System □</v>
      </c>
      <c r="G9" s="31" t="str">
        <f>IF($H9=0,"",VLOOKUP($H9,정원!$D:$G,4,FALSE))</f>
        <v>Service engineer</v>
      </c>
      <c r="H9" s="19" t="s">
        <v>72</v>
      </c>
      <c r="I9" s="74"/>
      <c r="J9" s="7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3">
      <c r="A10" s="7">
        <v>8</v>
      </c>
      <c r="B10" s="31" t="str">
        <f>IF($D10=0,"",VLOOKUP($D10,'Project IO'!$B:$E,3,FALSE))</f>
        <v/>
      </c>
      <c r="C10" s="31" t="str">
        <f>IF($D10=0,"",VLOOKUP($D10,'Project IO'!$B:$E,4,FALSE))</f>
        <v/>
      </c>
      <c r="D10" s="31">
        <f t="shared" si="1"/>
        <v>0</v>
      </c>
      <c r="E10" s="31" t="str">
        <f>IF($H10=0,"",VLOOKUP($H10,정원!$D:$G,2,FALSE))</f>
        <v>NPI IS</v>
      </c>
      <c r="F10" s="31" t="str">
        <f>IF($H10=0,"",VLOOKUP($H10,정원!$D:$G,3,FALSE))</f>
        <v>Mechanical</v>
      </c>
      <c r="G10" s="31" t="str">
        <f>IF($H10=0,"",VLOOKUP($H10,정원!$D:$G,4,FALSE))</f>
        <v>Leader</v>
      </c>
      <c r="H10" s="7" t="s">
        <v>73</v>
      </c>
      <c r="I10" s="74"/>
      <c r="J10" s="7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3">
      <c r="A11" s="7">
        <v>9</v>
      </c>
      <c r="B11" s="31" t="str">
        <f>IF($D11=0,"",VLOOKUP($D11,'Project IO'!$B:$E,3,FALSE))</f>
        <v/>
      </c>
      <c r="C11" s="31" t="str">
        <f>IF($D11=0,"",VLOOKUP($D11,'Project IO'!$B:$E,4,FALSE))</f>
        <v/>
      </c>
      <c r="D11" s="31">
        <f t="shared" si="1"/>
        <v>0</v>
      </c>
      <c r="E11" s="31" t="str">
        <f>IF($H11=0,"",VLOOKUP($H11,정원!$D:$G,2,FALSE))</f>
        <v>NPI IS</v>
      </c>
      <c r="F11" s="31" t="str">
        <f>IF($H11=0,"",VLOOKUP($H11,정원!$D:$G,3,FALSE))</f>
        <v>Mechanical</v>
      </c>
      <c r="G11" s="31" t="str">
        <f>IF($H11=0,"",VLOOKUP($H11,정원!$D:$G,4,FALSE))</f>
        <v>Mechanical engineer</v>
      </c>
      <c r="H11" s="19" t="s">
        <v>74</v>
      </c>
      <c r="I11" s="74"/>
      <c r="J11" s="7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3">
      <c r="A12" s="7">
        <v>10</v>
      </c>
      <c r="B12" s="31" t="str">
        <f>IF($D12=0,"",VLOOKUP($D12,'Project IO'!$B:$E,3,FALSE))</f>
        <v/>
      </c>
      <c r="C12" s="31" t="str">
        <f>IF($D12=0,"",VLOOKUP($D12,'Project IO'!$B:$E,4,FALSE))</f>
        <v/>
      </c>
      <c r="D12" s="31">
        <f t="shared" si="1"/>
        <v>0</v>
      </c>
      <c r="E12" s="31" t="str">
        <f>IF($H12=0,"",VLOOKUP($H12,정원!$D:$G,2,FALSE))</f>
        <v>Control Eng.</v>
      </c>
      <c r="F12" s="31" t="str">
        <f>IF($H12=0,"",VLOOKUP($H12,정원!$D:$G,3,FALSE))</f>
        <v>* Manager</v>
      </c>
      <c r="G12" s="31" t="str">
        <f>IF($H12=0,"",VLOOKUP($H12,정원!$D:$G,4,FALSE))</f>
        <v>* Manager</v>
      </c>
      <c r="H12" s="7" t="s">
        <v>75</v>
      </c>
      <c r="I12" s="74"/>
      <c r="J12" s="7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3">
      <c r="A13" s="7">
        <v>11</v>
      </c>
      <c r="B13" s="31" t="str">
        <f>IF($D13=0,"",VLOOKUP($D13,'Project IO'!$B:$E,3,FALSE))</f>
        <v/>
      </c>
      <c r="C13" s="31" t="str">
        <f>IF($D13=0,"",VLOOKUP($D13,'Project IO'!$B:$E,4,FALSE))</f>
        <v/>
      </c>
      <c r="D13" s="31">
        <f t="shared" si="1"/>
        <v>0</v>
      </c>
      <c r="E13" s="31" t="str">
        <f>IF($H13=0,"",VLOOKUP($H13,정원!$D:$G,2,FALSE))</f>
        <v>Control Eng.</v>
      </c>
      <c r="F13" s="31" t="str">
        <f>IF($H13=0,"",VLOOKUP($H13,정원!$D:$G,3,FALSE))</f>
        <v>Software</v>
      </c>
      <c r="G13" s="31" t="str">
        <f>IF($H13=0,"",VLOOKUP($H13,정원!$D:$G,4,FALSE))</f>
        <v>Leader</v>
      </c>
      <c r="H13" s="7" t="s">
        <v>76</v>
      </c>
      <c r="I13" s="74"/>
      <c r="J13" s="7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3">
      <c r="A14" s="7">
        <v>12</v>
      </c>
      <c r="B14" s="31" t="str">
        <f>IF($D14=0,"",VLOOKUP($D14,'Project IO'!$B:$E,3,FALSE))</f>
        <v/>
      </c>
      <c r="C14" s="31" t="str">
        <f>IF($D14=0,"",VLOOKUP($D14,'Project IO'!$B:$E,4,FALSE))</f>
        <v/>
      </c>
      <c r="D14" s="31">
        <f t="shared" si="1"/>
        <v>0</v>
      </c>
      <c r="E14" s="31" t="str">
        <f>IF($H14=0,"",VLOOKUP($H14,정원!$D:$G,2,FALSE))</f>
        <v>Control Eng.</v>
      </c>
      <c r="F14" s="31" t="str">
        <f>IF($H14=0,"",VLOOKUP($H14,정원!$D:$G,3,FALSE))</f>
        <v>Software</v>
      </c>
      <c r="G14" s="31" t="str">
        <f>IF($H14=0,"",VLOOKUP($H14,정원!$D:$G,4,FALSE))</f>
        <v>Software engineer</v>
      </c>
      <c r="H14" s="19" t="s">
        <v>77</v>
      </c>
      <c r="I14" s="74"/>
      <c r="J14" s="7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3">
      <c r="A15" s="7">
        <v>13</v>
      </c>
      <c r="B15" s="31" t="str">
        <f>IF($D15=0,"",VLOOKUP($D15,'Project IO'!$B:$E,3,FALSE))</f>
        <v/>
      </c>
      <c r="C15" s="31" t="str">
        <f>IF($D15=0,"",VLOOKUP($D15,'Project IO'!$B:$E,4,FALSE))</f>
        <v/>
      </c>
      <c r="D15" s="31">
        <f t="shared" si="1"/>
        <v>0</v>
      </c>
      <c r="E15" s="31" t="str">
        <f>IF($H15=0,"",VLOOKUP($H15,정원!$D:$G,2,FALSE))</f>
        <v>Control Eng.</v>
      </c>
      <c r="F15" s="31" t="str">
        <f>IF($H15=0,"",VLOOKUP($H15,정원!$D:$G,3,FALSE))</f>
        <v>Software</v>
      </c>
      <c r="G15" s="31" t="str">
        <f>IF($H15=0,"",VLOOKUP($H15,정원!$D:$G,4,FALSE))</f>
        <v>SW test engineer</v>
      </c>
      <c r="H15" s="19" t="s">
        <v>78</v>
      </c>
      <c r="I15" s="74"/>
      <c r="J15" s="7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>
      <c r="A16" s="7">
        <v>14</v>
      </c>
      <c r="B16" s="31" t="str">
        <f>IF($D16=0,"",VLOOKUP($D16,'Project IO'!$B:$E,3,FALSE))</f>
        <v/>
      </c>
      <c r="C16" s="31" t="str">
        <f>IF($D16=0,"",VLOOKUP($D16,'Project IO'!$B:$E,4,FALSE))</f>
        <v/>
      </c>
      <c r="D16" s="31">
        <f t="shared" si="1"/>
        <v>0</v>
      </c>
      <c r="E16" s="31" t="str">
        <f>IF($H16=0,"",VLOOKUP($H16,정원!$D:$G,2,FALSE))</f>
        <v>Control Eng.</v>
      </c>
      <c r="F16" s="31" t="str">
        <f>IF($H16=0,"",VLOOKUP($H16,정원!$D:$G,3,FALSE))</f>
        <v>Electrical</v>
      </c>
      <c r="G16" s="31" t="str">
        <f>IF($H16=0,"",VLOOKUP($H16,정원!$D:$G,4,FALSE))</f>
        <v>Leader</v>
      </c>
      <c r="H16" s="7" t="s">
        <v>79</v>
      </c>
      <c r="I16" s="74"/>
      <c r="J16" s="7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>
      <c r="A17" s="7">
        <v>15</v>
      </c>
      <c r="B17" s="31" t="str">
        <f>IF($D17=0,"",VLOOKUP($D17,'Project IO'!$B:$E,3,FALSE))</f>
        <v/>
      </c>
      <c r="C17" s="31" t="str">
        <f>IF($D17=0,"",VLOOKUP($D17,'Project IO'!$B:$E,4,FALSE))</f>
        <v/>
      </c>
      <c r="D17" s="31">
        <f t="shared" si="1"/>
        <v>0</v>
      </c>
      <c r="E17" s="31" t="str">
        <f>IF($H17=0,"",VLOOKUP($H17,정원!$D:$G,2,FALSE))</f>
        <v>Control Eng.</v>
      </c>
      <c r="F17" s="31" t="str">
        <f>IF($H17=0,"",VLOOKUP($H17,정원!$D:$G,3,FALSE))</f>
        <v>Electrical</v>
      </c>
      <c r="G17" s="31" t="str">
        <f>IF($H17=0,"",VLOOKUP($H17,정원!$D:$G,4,FALSE))</f>
        <v>Electrical engineer</v>
      </c>
      <c r="H17" s="19" t="s">
        <v>80</v>
      </c>
      <c r="I17" s="74"/>
      <c r="J17" s="7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>
      <c r="A18" s="7">
        <v>16</v>
      </c>
      <c r="B18" s="31" t="str">
        <f>IF($D18=0,"",VLOOKUP($D18,'Project IO'!$B:$E,3,FALSE))</f>
        <v/>
      </c>
      <c r="C18" s="31" t="str">
        <f>IF($D18=0,"",VLOOKUP($D18,'Project IO'!$B:$E,4,FALSE))</f>
        <v/>
      </c>
      <c r="D18" s="31">
        <f t="shared" si="1"/>
        <v>0</v>
      </c>
      <c r="E18" s="31">
        <f>IF($H21=0,"",VLOOKUP($H21,정원!$D:$G,2,FALSE))</f>
        <v>0</v>
      </c>
      <c r="F18" s="31">
        <f>IF($H21=0,"",VLOOKUP($H21,정원!$D:$G,3,FALSE))</f>
        <v>0</v>
      </c>
      <c r="G18" s="31">
        <f>IF($H21=0,"",VLOOKUP($H21,정원!$D:$G,4,FALSE))</f>
        <v>0</v>
      </c>
      <c r="I18" s="74"/>
      <c r="J18" s="7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>
      <c r="A19" s="7">
        <v>17</v>
      </c>
      <c r="B19" s="31" t="str">
        <f>IF($D19=0,"",VLOOKUP($D19,'Project IO'!$B:$E,3,FALSE))</f>
        <v/>
      </c>
      <c r="C19" s="31" t="str">
        <f>IF($D19=0,"",VLOOKUP($D19,'Project IO'!$B:$E,4,FALSE))</f>
        <v/>
      </c>
      <c r="D19" s="31">
        <f t="shared" si="1"/>
        <v>0</v>
      </c>
      <c r="E19" s="31" t="str">
        <f>IF($H22=0,"",VLOOKUP($H22,정원!$D:$G,2,FALSE))</f>
        <v/>
      </c>
      <c r="F19" s="31" t="str">
        <f>IF($H22=0,"",VLOOKUP($H22,정원!$D:$G,3,FALSE))</f>
        <v/>
      </c>
      <c r="G19" s="31" t="str">
        <f>IF($H22=0,"",VLOOKUP($H22,정원!$D:$G,4,FALSE))</f>
        <v/>
      </c>
      <c r="I19" s="74"/>
      <c r="J19" s="74"/>
    </row>
    <row r="20" spans="1:50">
      <c r="A20" s="7">
        <v>18</v>
      </c>
      <c r="B20" s="31" t="str">
        <f>IF($D20=0,"",VLOOKUP($D20,'Project IO'!$B:$E,3,FALSE))</f>
        <v/>
      </c>
      <c r="C20" s="31" t="str">
        <f>IF($D20=0,"",VLOOKUP($D20,'Project IO'!$B:$E,4,FALSE))</f>
        <v/>
      </c>
      <c r="D20" s="31">
        <f t="shared" si="1"/>
        <v>0</v>
      </c>
      <c r="E20" s="31" t="str">
        <f>IF($H23=0,"",VLOOKUP($H23,정원!$D:$G,2,FALSE))</f>
        <v/>
      </c>
      <c r="F20" s="31" t="str">
        <f>IF($H23=0,"",VLOOKUP($H23,정원!$D:$G,3,FALSE))</f>
        <v/>
      </c>
      <c r="G20" s="31" t="str">
        <f>IF($H23=0,"",VLOOKUP($H23,정원!$D:$G,4,FALSE))</f>
        <v/>
      </c>
      <c r="I20" s="74"/>
      <c r="J20" s="74"/>
    </row>
    <row r="21" spans="1:50">
      <c r="A21" s="7">
        <v>19</v>
      </c>
      <c r="B21" s="31" t="str">
        <f>IF($D21=0,"",VLOOKUP($D21,'Project IO'!$B:$E,3,FALSE))</f>
        <v/>
      </c>
      <c r="C21" s="31" t="str">
        <f>IF($D21=0,"",VLOOKUP($D21,'Project IO'!$B:$E,4,FALSE))</f>
        <v/>
      </c>
      <c r="D21" s="31">
        <f t="shared" si="1"/>
        <v>0</v>
      </c>
      <c r="E21" s="31" t="str">
        <f>IF($H24=0,"",VLOOKUP($H24,정원!$D:$G,2,FALSE))</f>
        <v/>
      </c>
      <c r="F21" s="31" t="str">
        <f>IF($H24=0,"",VLOOKUP($H24,정원!$D:$G,3,FALSE))</f>
        <v/>
      </c>
      <c r="G21" s="31" t="str">
        <f>IF($H24=0,"",VLOOKUP($H24,정원!$D:$G,4,FALSE))</f>
        <v/>
      </c>
      <c r="H21" s="19" t="s">
        <v>81</v>
      </c>
      <c r="I21" s="74"/>
      <c r="J21" s="74"/>
      <c r="K21" t="s">
        <v>82</v>
      </c>
      <c r="N21" t="s">
        <v>83</v>
      </c>
      <c r="P21" t="s">
        <v>84</v>
      </c>
    </row>
    <row r="1048537" spans="2:7">
      <c r="B1048537" s="7"/>
      <c r="C1048537" s="7"/>
      <c r="D1048537" s="7"/>
      <c r="E1048537" s="7"/>
      <c r="F1048537" s="7"/>
      <c r="G1048537" s="7"/>
    </row>
    <row r="1048538" spans="2:7">
      <c r="B1048538" s="7"/>
      <c r="C1048538" s="7"/>
      <c r="D1048538" s="7"/>
      <c r="E1048538" s="7"/>
      <c r="F1048538" s="7"/>
      <c r="G1048538" s="7"/>
    </row>
    <row r="1048539" spans="2:7">
      <c r="B1048539" s="7"/>
      <c r="C1048539" s="7"/>
      <c r="D1048539" s="7"/>
      <c r="E1048539" s="7"/>
      <c r="F1048539" s="7"/>
      <c r="G1048539" s="19"/>
    </row>
    <row r="1048540" spans="2:7">
      <c r="B1048540" s="7"/>
      <c r="C1048540" s="7"/>
      <c r="D1048540" s="7"/>
      <c r="E1048540" s="7"/>
      <c r="F1048540" s="7"/>
      <c r="G1048540" s="7"/>
    </row>
    <row r="1048541" spans="2:7">
      <c r="B1048541" s="7"/>
      <c r="C1048541" s="7"/>
      <c r="D1048541" s="7"/>
      <c r="E1048541" s="7"/>
      <c r="F1048541" s="7"/>
      <c r="G1048541" s="19"/>
    </row>
    <row r="1048542" spans="2:7">
      <c r="B1048542" s="7"/>
      <c r="C1048542" s="7"/>
      <c r="D1048542" s="7"/>
      <c r="E1048542" s="7"/>
      <c r="F1048542" s="7"/>
      <c r="G1048542" s="19"/>
    </row>
    <row r="1048543" spans="2:7">
      <c r="B1048543" s="7"/>
      <c r="C1048543" s="7"/>
      <c r="D1048543" s="7"/>
      <c r="E1048543" s="7"/>
      <c r="F1048543" s="7"/>
      <c r="G1048543" s="19"/>
    </row>
    <row r="1048544" spans="2:7">
      <c r="B1048544" s="7"/>
      <c r="C1048544" s="7"/>
      <c r="D1048544" s="7"/>
      <c r="E1048544" s="7"/>
      <c r="F1048544" s="7"/>
      <c r="G1048544" s="19"/>
    </row>
    <row r="1048545" spans="2:7">
      <c r="B1048545" s="7"/>
      <c r="C1048545" s="7"/>
      <c r="D1048545" s="7"/>
      <c r="E1048545" s="7"/>
      <c r="F1048545" s="7"/>
      <c r="G1048545" s="7"/>
    </row>
    <row r="1048546" spans="2:7">
      <c r="B1048546" s="7"/>
      <c r="C1048546" s="7"/>
      <c r="D1048546" s="7"/>
      <c r="E1048546" s="7"/>
      <c r="F1048546" s="7"/>
      <c r="G1048546" s="19"/>
    </row>
    <row r="1048547" spans="2:7">
      <c r="B1048547" s="7"/>
      <c r="C1048547" s="7"/>
      <c r="D1048547" s="7"/>
      <c r="E1048547" s="7"/>
      <c r="F1048547" s="7"/>
      <c r="G1048547" s="7"/>
    </row>
    <row r="1048548" spans="2:7">
      <c r="B1048548" s="7"/>
      <c r="C1048548" s="7"/>
      <c r="D1048548" s="7"/>
      <c r="E1048548" s="7"/>
      <c r="F1048548" s="7"/>
      <c r="G1048548" s="7"/>
    </row>
    <row r="1048549" spans="2:7">
      <c r="B1048549" s="7"/>
      <c r="C1048549" s="7"/>
      <c r="D1048549" s="7"/>
      <c r="E1048549" s="7"/>
      <c r="F1048549" s="7"/>
      <c r="G1048549" s="19"/>
    </row>
    <row r="1048550" spans="2:7">
      <c r="B1048550" s="7"/>
      <c r="C1048550" s="7"/>
      <c r="D1048550" s="7"/>
      <c r="E1048550" s="7"/>
      <c r="F1048550" s="7"/>
      <c r="G1048550" s="19"/>
    </row>
    <row r="1048551" spans="2:7">
      <c r="B1048551" s="7"/>
      <c r="C1048551" s="7"/>
      <c r="D1048551" s="7"/>
      <c r="E1048551" s="7"/>
      <c r="F1048551" s="7"/>
      <c r="G1048551" s="7"/>
    </row>
    <row r="1048552" spans="2:7">
      <c r="B1048552" s="7"/>
      <c r="C1048552" s="7"/>
      <c r="D1048552" s="7"/>
      <c r="E1048552" s="7"/>
      <c r="F1048552" s="7"/>
      <c r="G1048552" s="19"/>
    </row>
    <row r="1048553" spans="2:7">
      <c r="B1048553" s="7"/>
      <c r="C1048553" s="7"/>
      <c r="D1048553" s="7"/>
      <c r="E1048553" s="7"/>
      <c r="F1048553" s="7"/>
      <c r="G1048553" s="19"/>
    </row>
  </sheetData>
  <phoneticPr fontId="1" type="noConversion"/>
  <dataValidations count="2">
    <dataValidation type="list" allowBlank="1" showInputMessage="1" showErrorMessage="1" sqref="E22:E1048576" xr:uid="{C0E902D0-03B3-4C01-9736-A7BFB85C3C8F}">
      <formula1>"Engineering, PMO, System engineering, Control Engineering"</formula1>
    </dataValidation>
    <dataValidation type="list" allowBlank="1" showInputMessage="1" showErrorMessage="1" sqref="F22:F1048576" xr:uid="{2E10B81E-CBF5-4C1F-BA70-BDDB1BF7504F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5BE3C6-5F59-4395-8AB4-9AE69FC2D82D}">
          <x14:formula1>
            <xm:f>정원!$D:$D</xm:f>
          </x14:formula1>
          <xm:sqref>H3:H1048576</xm:sqref>
        </x14:dataValidation>
        <x14:dataValidation type="list" allowBlank="1" showInputMessage="1" showErrorMessage="1" xr:uid="{104C8AFE-70BF-4DF2-8837-C2A507A1713A}">
          <x14:formula1>
            <xm:f>'Project IO'!$B$4:$B$101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BB75-71BD-4DC4-AB75-65DC2344D026}">
  <sheetPr>
    <tabColor rgb="FFFF7C80"/>
  </sheetPr>
  <dimension ref="A1:BA253"/>
  <sheetViews>
    <sheetView topLeftCell="G1" workbookViewId="0">
      <pane ySplit="1" topLeftCell="A30" activePane="bottomLeft" state="frozen"/>
      <selection pane="bottomLeft" activeCell="E30" sqref="E30"/>
    </sheetView>
  </sheetViews>
  <sheetFormatPr defaultRowHeight="16.5"/>
  <cols>
    <col min="1" max="1" width="7.625" bestFit="1" customWidth="1"/>
    <col min="2" max="3" width="10" customWidth="1"/>
    <col min="4" max="4" width="28" bestFit="1" customWidth="1"/>
    <col min="5" max="5" width="21.125" customWidth="1"/>
    <col min="6" max="6" width="12.125" customWidth="1"/>
    <col min="7" max="8" width="23.5" customWidth="1"/>
    <col min="9" max="10" width="12.125" style="20" bestFit="1" customWidth="1"/>
    <col min="11" max="53" width="8.125" style="16" customWidth="1"/>
  </cols>
  <sheetData>
    <row r="1" spans="1:53">
      <c r="A1" s="7" t="s">
        <v>56</v>
      </c>
      <c r="B1" s="8" t="s">
        <v>57</v>
      </c>
      <c r="C1" s="87" t="s">
        <v>52</v>
      </c>
      <c r="D1" s="8" t="s">
        <v>59</v>
      </c>
      <c r="E1" s="10" t="s">
        <v>60</v>
      </c>
      <c r="F1" s="10" t="s">
        <v>61</v>
      </c>
      <c r="G1" s="10" t="s">
        <v>85</v>
      </c>
      <c r="H1" s="7" t="s">
        <v>86</v>
      </c>
      <c r="I1" s="89" t="s">
        <v>64</v>
      </c>
      <c r="J1" s="89" t="s">
        <v>65</v>
      </c>
      <c r="K1" s="14">
        <v>45833</v>
      </c>
      <c r="L1" s="14">
        <v>45863</v>
      </c>
      <c r="M1" s="14">
        <v>45894</v>
      </c>
      <c r="N1" s="14">
        <v>45925</v>
      </c>
      <c r="O1" s="14">
        <v>45955</v>
      </c>
      <c r="P1" s="14">
        <v>45986</v>
      </c>
      <c r="Q1" s="14">
        <v>46016</v>
      </c>
      <c r="R1" s="14">
        <v>45683</v>
      </c>
      <c r="S1" s="14">
        <v>45714</v>
      </c>
      <c r="T1" s="14">
        <v>45742</v>
      </c>
      <c r="U1" s="14">
        <v>45773</v>
      </c>
      <c r="V1" s="14">
        <v>45803</v>
      </c>
      <c r="W1" s="14">
        <v>45834</v>
      </c>
      <c r="X1" s="14">
        <v>45864</v>
      </c>
      <c r="Y1" s="14">
        <v>45895</v>
      </c>
      <c r="Z1" s="14">
        <v>45926</v>
      </c>
      <c r="AA1" s="14">
        <v>45956</v>
      </c>
      <c r="AB1" s="14">
        <v>45987</v>
      </c>
      <c r="AC1" s="14">
        <v>46017</v>
      </c>
      <c r="AD1" s="14">
        <v>45684</v>
      </c>
      <c r="AE1" s="14">
        <v>45715</v>
      </c>
      <c r="AF1" s="14">
        <v>45743</v>
      </c>
      <c r="AG1" s="14">
        <v>45774</v>
      </c>
      <c r="AH1" s="14">
        <v>45804</v>
      </c>
      <c r="AI1" s="14">
        <v>45835</v>
      </c>
      <c r="AJ1" s="14">
        <v>45865</v>
      </c>
      <c r="AK1" s="14">
        <v>45896</v>
      </c>
      <c r="AL1" s="14">
        <v>45927</v>
      </c>
      <c r="AM1" s="14">
        <v>45957</v>
      </c>
      <c r="AN1" s="14">
        <v>45988</v>
      </c>
      <c r="AO1" s="14">
        <v>46018</v>
      </c>
      <c r="AP1" s="14">
        <v>45685</v>
      </c>
      <c r="AQ1" s="14">
        <v>45716</v>
      </c>
      <c r="AR1" s="14">
        <v>45744</v>
      </c>
      <c r="AS1" s="14">
        <v>45775</v>
      </c>
      <c r="AT1" s="14">
        <v>45805</v>
      </c>
      <c r="AU1" s="14">
        <v>45836</v>
      </c>
      <c r="AV1" s="14">
        <v>45866</v>
      </c>
      <c r="AW1" s="14">
        <v>45897</v>
      </c>
      <c r="AX1" s="14">
        <v>45928</v>
      </c>
      <c r="AY1" s="14">
        <v>45958</v>
      </c>
      <c r="AZ1" s="14">
        <v>45989</v>
      </c>
      <c r="BA1" s="15">
        <v>46019</v>
      </c>
    </row>
    <row r="2" spans="1:53">
      <c r="A2" cm="1">
        <f t="array" ref="A2:BA253">_xlfn.LET(_xlpm.취합,_xlfn.VSTACK('&gt;:&lt;'!A3:BA87),_xlfn._xlws.FILTER(_xlpm.취합,_xlfn.CHOOSECOLS(_xlpm.취합,1)&lt;&gt;""))</f>
        <v>1</v>
      </c>
      <c r="B2" t="str">
        <v>Active</v>
      </c>
      <c r="C2" t="str">
        <v>Planning</v>
      </c>
      <c r="D2" t="str">
        <v>Ganymede support - PCCA</v>
      </c>
      <c r="E2" t="str">
        <v>NPI IS</v>
      </c>
      <c r="F2" t="str">
        <v>System □</v>
      </c>
      <c r="G2" t="str">
        <v>System engineer</v>
      </c>
      <c r="H2" t="str">
        <v>System engineer</v>
      </c>
      <c r="I2" s="20">
        <v>0</v>
      </c>
      <c r="J2" s="20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</row>
    <row r="3" spans="1:53">
      <c r="A3">
        <v>2</v>
      </c>
      <c r="B3" t="str">
        <v>Active</v>
      </c>
      <c r="C3" t="str">
        <v>Complete</v>
      </c>
      <c r="D3" t="str">
        <v>R&amp;D General - Legacy/TSG</v>
      </c>
      <c r="E3" t="str">
        <v>Control Eng.</v>
      </c>
      <c r="F3" t="str">
        <v>Software</v>
      </c>
      <c r="G3" t="str">
        <v>Software engineer</v>
      </c>
      <c r="H3" t="str">
        <v>Ashley Yun</v>
      </c>
      <c r="I3" s="20">
        <v>0</v>
      </c>
      <c r="J3" s="20">
        <v>0</v>
      </c>
      <c r="K3" s="16">
        <v>0</v>
      </c>
      <c r="L3" s="16">
        <v>0.3</v>
      </c>
      <c r="M3" s="16">
        <v>1</v>
      </c>
      <c r="N3" s="16">
        <v>1</v>
      </c>
      <c r="O3" s="16">
        <v>1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0.5</v>
      </c>
      <c r="AG3" s="16">
        <v>0.5</v>
      </c>
      <c r="AH3" s="16">
        <v>0.5</v>
      </c>
      <c r="AI3" s="16">
        <v>0.5</v>
      </c>
      <c r="AJ3" s="16">
        <v>0.5</v>
      </c>
      <c r="AK3" s="16">
        <v>0.5</v>
      </c>
      <c r="AL3" s="16">
        <v>0.5</v>
      </c>
      <c r="AM3" s="16">
        <v>0.5</v>
      </c>
      <c r="AN3" s="16">
        <v>0.5</v>
      </c>
      <c r="AO3" s="16">
        <v>0.5</v>
      </c>
      <c r="AP3" s="16">
        <v>0.5</v>
      </c>
      <c r="AQ3" s="16">
        <v>0.5</v>
      </c>
      <c r="AR3" s="16">
        <v>0.5</v>
      </c>
      <c r="AS3" s="16">
        <v>0.5</v>
      </c>
      <c r="AT3" s="16">
        <v>0.5</v>
      </c>
      <c r="AU3" s="16">
        <v>0.5</v>
      </c>
      <c r="AV3" s="16">
        <v>0.5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</row>
    <row r="4" spans="1:53">
      <c r="A4">
        <v>3</v>
      </c>
      <c r="B4" t="str">
        <v>Active</v>
      </c>
      <c r="C4" t="str">
        <v>Complete</v>
      </c>
      <c r="D4" t="str">
        <v>R&amp;D General - Legacy/TSG</v>
      </c>
      <c r="E4" t="str">
        <v>Control Eng.</v>
      </c>
      <c r="F4" t="str">
        <v>Software</v>
      </c>
      <c r="G4" t="str">
        <v>Software engineer</v>
      </c>
      <c r="H4" t="str">
        <v>Rachel Bae</v>
      </c>
      <c r="I4" s="20">
        <v>0</v>
      </c>
      <c r="J4" s="20">
        <v>0</v>
      </c>
      <c r="K4" s="16">
        <v>1</v>
      </c>
      <c r="L4" s="16">
        <v>1</v>
      </c>
      <c r="M4" s="16">
        <v>1</v>
      </c>
      <c r="N4" s="16">
        <v>1</v>
      </c>
      <c r="O4" s="16">
        <v>0.5</v>
      </c>
      <c r="P4" s="16">
        <v>0.5</v>
      </c>
      <c r="Q4" s="16">
        <v>0.5</v>
      </c>
      <c r="R4" s="16">
        <v>0.5</v>
      </c>
      <c r="S4" s="16">
        <v>0.5</v>
      </c>
      <c r="T4" s="16">
        <v>0.5</v>
      </c>
      <c r="U4" s="16">
        <v>0.5</v>
      </c>
      <c r="V4" s="16">
        <v>0.5</v>
      </c>
      <c r="W4" s="16">
        <v>1</v>
      </c>
      <c r="X4" s="16">
        <v>1</v>
      </c>
      <c r="Y4" s="16">
        <v>1</v>
      </c>
      <c r="Z4" s="16">
        <v>1</v>
      </c>
      <c r="AA4" s="16">
        <v>1</v>
      </c>
      <c r="AB4" s="16">
        <v>1</v>
      </c>
      <c r="AC4" s="16">
        <v>1</v>
      </c>
      <c r="AD4" s="16">
        <v>1</v>
      </c>
      <c r="AE4" s="16">
        <v>1</v>
      </c>
      <c r="AF4" s="16">
        <v>0.5</v>
      </c>
      <c r="AG4" s="16">
        <v>0.5</v>
      </c>
      <c r="AH4" s="16">
        <v>0.5</v>
      </c>
      <c r="AI4" s="16">
        <v>0.5</v>
      </c>
      <c r="AJ4" s="16">
        <v>0.5</v>
      </c>
      <c r="AK4" s="16">
        <v>0.5</v>
      </c>
      <c r="AL4" s="16">
        <v>0.5</v>
      </c>
      <c r="AM4" s="16">
        <v>0.5</v>
      </c>
      <c r="AN4" s="16">
        <v>0.5</v>
      </c>
      <c r="AO4" s="16">
        <v>0.5</v>
      </c>
      <c r="AP4" s="16">
        <v>0.5</v>
      </c>
      <c r="AQ4" s="16">
        <v>0.5</v>
      </c>
      <c r="AR4" s="16">
        <v>0.5</v>
      </c>
      <c r="AS4" s="16">
        <v>0.5</v>
      </c>
      <c r="AT4" s="16">
        <v>0.5</v>
      </c>
      <c r="AU4" s="16">
        <v>0.5</v>
      </c>
      <c r="AV4" s="16">
        <v>0.5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</row>
    <row r="5" spans="1:53">
      <c r="A5">
        <v>4</v>
      </c>
      <c r="B5" t="str">
        <v>Active</v>
      </c>
      <c r="C5" t="str">
        <v>Complete</v>
      </c>
      <c r="D5" t="str">
        <v>R&amp;D General - Legacy/TSG</v>
      </c>
      <c r="E5" t="str">
        <v>Control Eng.</v>
      </c>
      <c r="F5" t="str">
        <v>Software</v>
      </c>
      <c r="G5" t="str">
        <v>SW test engineer</v>
      </c>
      <c r="H5" t="str">
        <v>Amelia An</v>
      </c>
      <c r="I5" s="20">
        <v>0</v>
      </c>
      <c r="J5" s="20">
        <v>0</v>
      </c>
      <c r="K5" s="16">
        <v>1</v>
      </c>
      <c r="L5" s="16">
        <v>1</v>
      </c>
      <c r="M5" s="16">
        <v>0.9</v>
      </c>
      <c r="N5" s="16">
        <v>0.7</v>
      </c>
      <c r="O5" s="16">
        <v>0.5</v>
      </c>
      <c r="P5" s="16">
        <v>0.5</v>
      </c>
      <c r="Q5" s="16">
        <v>0.5</v>
      </c>
      <c r="R5" s="16">
        <v>0.5</v>
      </c>
      <c r="S5" s="16">
        <v>0.5</v>
      </c>
      <c r="T5" s="16">
        <v>0.5</v>
      </c>
      <c r="U5" s="16">
        <v>0.5</v>
      </c>
      <c r="V5" s="16">
        <v>0.5</v>
      </c>
      <c r="W5" s="16">
        <v>0.5</v>
      </c>
      <c r="X5" s="16">
        <v>0.5</v>
      </c>
      <c r="Y5" s="16">
        <v>0.5</v>
      </c>
      <c r="Z5" s="16">
        <v>0.5</v>
      </c>
      <c r="AA5" s="16">
        <v>0.5</v>
      </c>
      <c r="AB5" s="16">
        <v>0.5</v>
      </c>
      <c r="AC5" s="16">
        <v>0.5</v>
      </c>
      <c r="AD5" s="16">
        <v>0.5</v>
      </c>
      <c r="AE5" s="16">
        <v>0.5</v>
      </c>
      <c r="AF5" s="16">
        <v>0.5</v>
      </c>
      <c r="AG5" s="16">
        <v>0.5</v>
      </c>
      <c r="AH5" s="16">
        <v>0.5</v>
      </c>
      <c r="AI5" s="16">
        <v>0.5</v>
      </c>
      <c r="AJ5" s="16">
        <v>0.5</v>
      </c>
      <c r="AK5" s="16">
        <v>0.5</v>
      </c>
      <c r="AL5" s="16">
        <v>0.5</v>
      </c>
      <c r="AM5" s="16">
        <v>0.5</v>
      </c>
      <c r="AN5" s="16">
        <v>0.5</v>
      </c>
      <c r="AO5" s="16">
        <v>0.5</v>
      </c>
      <c r="AP5" s="16">
        <v>0.5</v>
      </c>
      <c r="AQ5" s="16">
        <v>0.5</v>
      </c>
      <c r="AR5" s="16">
        <v>0.5</v>
      </c>
      <c r="AS5" s="16">
        <v>0.5</v>
      </c>
      <c r="AT5" s="16">
        <v>0.5</v>
      </c>
      <c r="AU5" s="16">
        <v>0.5</v>
      </c>
      <c r="AV5" s="16">
        <v>0.5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</row>
    <row r="6" spans="1:53">
      <c r="A6">
        <v>5</v>
      </c>
      <c r="B6" t="str">
        <v>Active</v>
      </c>
      <c r="C6" t="str">
        <v>Complete</v>
      </c>
      <c r="D6" t="str">
        <v>R&amp;D General - Legacy/TSG</v>
      </c>
      <c r="E6" t="str">
        <v>Control Eng.</v>
      </c>
      <c r="F6" t="str">
        <v>Software</v>
      </c>
      <c r="G6" t="str">
        <v>Software engineer</v>
      </c>
      <c r="H6" t="str">
        <v>Roy Choi</v>
      </c>
      <c r="I6" s="20">
        <v>0</v>
      </c>
      <c r="J6" s="20">
        <v>0</v>
      </c>
      <c r="K6" s="16">
        <v>0.5</v>
      </c>
      <c r="L6" s="16">
        <v>0.5</v>
      </c>
      <c r="M6" s="16">
        <v>0.5</v>
      </c>
      <c r="N6" s="16">
        <v>0.5</v>
      </c>
      <c r="O6" s="16">
        <v>0.5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0.5</v>
      </c>
      <c r="X6" s="16">
        <v>0.5</v>
      </c>
      <c r="Y6" s="16">
        <v>0.5</v>
      </c>
      <c r="Z6" s="16">
        <v>0.5</v>
      </c>
      <c r="AA6" s="16">
        <v>0.5</v>
      </c>
      <c r="AB6" s="16">
        <v>0.5</v>
      </c>
      <c r="AC6" s="16">
        <v>0.5</v>
      </c>
      <c r="AD6" s="16">
        <v>0.5</v>
      </c>
      <c r="AE6" s="16">
        <v>0.5</v>
      </c>
      <c r="AF6" s="16">
        <v>0.5</v>
      </c>
      <c r="AG6" s="16">
        <v>0.5</v>
      </c>
      <c r="AH6" s="16">
        <v>0.5</v>
      </c>
      <c r="AI6" s="16">
        <v>0.5</v>
      </c>
      <c r="AJ6" s="16">
        <v>0.5</v>
      </c>
      <c r="AK6" s="16">
        <v>0.5</v>
      </c>
      <c r="AL6" s="16">
        <v>0.5</v>
      </c>
      <c r="AM6" s="16">
        <v>0.5</v>
      </c>
      <c r="AN6" s="16">
        <v>0.5</v>
      </c>
      <c r="AO6" s="16">
        <v>0.5</v>
      </c>
      <c r="AP6" s="16">
        <v>0.5</v>
      </c>
      <c r="AQ6" s="16">
        <v>0.5</v>
      </c>
      <c r="AR6" s="16">
        <v>0.5</v>
      </c>
      <c r="AS6" s="16">
        <v>0.5</v>
      </c>
      <c r="AT6" s="16">
        <v>0.5</v>
      </c>
      <c r="AU6" s="16">
        <v>0.5</v>
      </c>
      <c r="AV6" s="16">
        <v>0.5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</row>
    <row r="7" spans="1:53">
      <c r="A7">
        <v>6</v>
      </c>
      <c r="B7" t="str">
        <v>Active</v>
      </c>
      <c r="C7" t="str">
        <v>Planning</v>
      </c>
      <c r="D7" t="str">
        <v>Unify support</v>
      </c>
      <c r="E7" t="str">
        <v>Control Eng.</v>
      </c>
      <c r="F7" t="str">
        <v>Software</v>
      </c>
      <c r="G7" t="str">
        <v>Leader</v>
      </c>
      <c r="H7" t="str">
        <v>Gerald Park</v>
      </c>
      <c r="I7" s="20">
        <v>0</v>
      </c>
      <c r="J7" s="20">
        <v>0</v>
      </c>
      <c r="K7" s="16">
        <v>0.3</v>
      </c>
      <c r="L7" s="16">
        <v>0.3</v>
      </c>
      <c r="M7" s="16">
        <v>0.3</v>
      </c>
      <c r="N7" s="16">
        <v>0.3</v>
      </c>
      <c r="O7" s="16">
        <v>0.5</v>
      </c>
      <c r="P7" s="16">
        <v>0.5</v>
      </c>
      <c r="Q7" s="16">
        <v>0.5</v>
      </c>
      <c r="R7" s="16">
        <v>0.5</v>
      </c>
      <c r="S7" s="16">
        <v>0.5</v>
      </c>
      <c r="T7" s="16">
        <v>0.5</v>
      </c>
      <c r="U7" s="16">
        <v>0.5</v>
      </c>
      <c r="V7" s="16">
        <v>0.5</v>
      </c>
      <c r="W7" s="16">
        <v>0.3</v>
      </c>
      <c r="X7" s="16">
        <v>0.3</v>
      </c>
      <c r="Y7" s="16">
        <v>0.3</v>
      </c>
      <c r="Z7" s="16">
        <v>0.3</v>
      </c>
      <c r="AA7" s="16">
        <v>0.3</v>
      </c>
      <c r="AB7" s="16">
        <v>0.3</v>
      </c>
      <c r="AC7" s="16">
        <v>0.3</v>
      </c>
      <c r="AD7" s="16">
        <v>0.3</v>
      </c>
      <c r="AE7" s="16">
        <v>0.3</v>
      </c>
      <c r="AF7" s="16">
        <v>0.3</v>
      </c>
      <c r="AG7" s="16">
        <v>0.3</v>
      </c>
      <c r="AH7" s="16">
        <v>0.3</v>
      </c>
      <c r="AI7" s="16">
        <v>0.3</v>
      </c>
      <c r="AJ7" s="16">
        <v>0.3</v>
      </c>
      <c r="AK7" s="16">
        <v>0.3</v>
      </c>
      <c r="AL7" s="16">
        <v>0.3</v>
      </c>
      <c r="AM7" s="16">
        <v>0.3</v>
      </c>
      <c r="AN7" s="16">
        <v>0.3</v>
      </c>
      <c r="AO7" s="16">
        <v>0.3</v>
      </c>
      <c r="AP7" s="16">
        <v>0.3</v>
      </c>
      <c r="AQ7" s="16">
        <v>0.3</v>
      </c>
      <c r="AR7" s="16">
        <v>0.3</v>
      </c>
      <c r="AS7" s="16">
        <v>0.3</v>
      </c>
      <c r="AT7" s="16">
        <v>0.3</v>
      </c>
      <c r="AU7" s="16">
        <v>0.3</v>
      </c>
      <c r="AV7" s="16">
        <v>0.3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</row>
    <row r="8" spans="1:53">
      <c r="A8">
        <v>7</v>
      </c>
      <c r="B8" t="str">
        <v>Active</v>
      </c>
      <c r="C8" t="str">
        <v>Planning</v>
      </c>
      <c r="D8" t="str">
        <v>Unify support</v>
      </c>
      <c r="E8" t="str">
        <v>Control Eng.</v>
      </c>
      <c r="F8" t="str">
        <v>Software</v>
      </c>
      <c r="G8" t="str">
        <v>Software engineer</v>
      </c>
      <c r="H8" t="str">
        <v>Rachel Bae</v>
      </c>
      <c r="I8" s="20">
        <v>0</v>
      </c>
      <c r="J8" s="20">
        <v>0</v>
      </c>
      <c r="K8" s="16">
        <v>0</v>
      </c>
      <c r="L8" s="16">
        <v>0</v>
      </c>
      <c r="M8" s="16">
        <v>0</v>
      </c>
      <c r="N8" s="16">
        <v>0</v>
      </c>
      <c r="O8" s="16">
        <v>0.5</v>
      </c>
      <c r="P8" s="16">
        <v>0.5</v>
      </c>
      <c r="Q8" s="16">
        <v>0.5</v>
      </c>
      <c r="R8" s="16">
        <v>0.5</v>
      </c>
      <c r="S8" s="16">
        <v>0.5</v>
      </c>
      <c r="T8" s="16">
        <v>0.5</v>
      </c>
      <c r="U8" s="16">
        <v>0.5</v>
      </c>
      <c r="V8" s="16">
        <v>0.5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</row>
    <row r="9" spans="1:53">
      <c r="A9">
        <v>8</v>
      </c>
      <c r="B9" t="str">
        <v>Active</v>
      </c>
      <c r="C9" t="str">
        <v>Planning</v>
      </c>
      <c r="D9" t="str">
        <v>Unify support</v>
      </c>
      <c r="E9" t="str">
        <v>Control Eng.</v>
      </c>
      <c r="F9" t="str">
        <v>Software</v>
      </c>
      <c r="G9" t="str">
        <v>SW test engineer</v>
      </c>
      <c r="H9" t="str">
        <v>Amelia An</v>
      </c>
      <c r="I9" s="20">
        <v>0</v>
      </c>
      <c r="J9" s="20">
        <v>0</v>
      </c>
      <c r="K9" s="16">
        <v>0</v>
      </c>
      <c r="L9" s="16">
        <v>0</v>
      </c>
      <c r="M9" s="16">
        <v>0.1</v>
      </c>
      <c r="N9" s="16">
        <v>0.3</v>
      </c>
      <c r="O9" s="16">
        <v>0.5</v>
      </c>
      <c r="P9" s="16">
        <v>0.5</v>
      </c>
      <c r="Q9" s="16">
        <v>0.5</v>
      </c>
      <c r="R9" s="16">
        <v>0.5</v>
      </c>
      <c r="S9" s="16">
        <v>0.5</v>
      </c>
      <c r="T9" s="16">
        <v>0.5</v>
      </c>
      <c r="U9" s="16">
        <v>0.5</v>
      </c>
      <c r="V9" s="16">
        <v>0.5</v>
      </c>
      <c r="W9" s="16">
        <v>0.5</v>
      </c>
      <c r="X9" s="16">
        <v>0.5</v>
      </c>
      <c r="Y9" s="16">
        <v>0.5</v>
      </c>
      <c r="Z9" s="16">
        <v>0.5</v>
      </c>
      <c r="AA9" s="16">
        <v>0.5</v>
      </c>
      <c r="AB9" s="16">
        <v>0.5</v>
      </c>
      <c r="AC9" s="16">
        <v>0.5</v>
      </c>
      <c r="AD9" s="16">
        <v>0.5</v>
      </c>
      <c r="AE9" s="16">
        <v>0.5</v>
      </c>
      <c r="AF9" s="16">
        <v>0.5</v>
      </c>
      <c r="AG9" s="16">
        <v>0.5</v>
      </c>
      <c r="AH9" s="16">
        <v>0.5</v>
      </c>
      <c r="AI9" s="16">
        <v>0.5</v>
      </c>
      <c r="AJ9" s="16">
        <v>0.5</v>
      </c>
      <c r="AK9" s="16">
        <v>0.5</v>
      </c>
      <c r="AL9" s="16">
        <v>0.5</v>
      </c>
      <c r="AM9" s="16">
        <v>0.5</v>
      </c>
      <c r="AN9" s="16">
        <v>0.5</v>
      </c>
      <c r="AO9" s="16">
        <v>0.5</v>
      </c>
      <c r="AP9" s="16">
        <v>0.5</v>
      </c>
      <c r="AQ9" s="16">
        <v>0.5</v>
      </c>
      <c r="AR9" s="16">
        <v>0.5</v>
      </c>
      <c r="AS9" s="16">
        <v>0.5</v>
      </c>
      <c r="AT9" s="16">
        <v>0.5</v>
      </c>
      <c r="AU9" s="16">
        <v>0.5</v>
      </c>
      <c r="AV9" s="16">
        <v>0.5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>
      <c r="A10">
        <v>9</v>
      </c>
      <c r="B10" t="str">
        <v>Active</v>
      </c>
      <c r="C10" t="str">
        <v>Complete</v>
      </c>
      <c r="D10" t="str">
        <v>R&amp;D General - Legacy/TSG</v>
      </c>
      <c r="E10" t="str">
        <v>NPI IS</v>
      </c>
      <c r="F10" t="str">
        <v>System 1</v>
      </c>
      <c r="G10" t="str">
        <v>Technician</v>
      </c>
      <c r="H10" t="str">
        <v>Robin Park</v>
      </c>
      <c r="I10" s="20">
        <v>0</v>
      </c>
      <c r="J10" s="20">
        <v>0</v>
      </c>
      <c r="K10" s="16">
        <v>0.2</v>
      </c>
      <c r="L10" s="16">
        <v>0.2</v>
      </c>
      <c r="M10" s="16">
        <v>0.2</v>
      </c>
      <c r="N10" s="16">
        <v>0.2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>
      <c r="A11">
        <v>10</v>
      </c>
      <c r="B11" t="str">
        <v>Active</v>
      </c>
      <c r="C11" t="str">
        <v>Lead</v>
      </c>
      <c r="D11" t="str">
        <v>CatOX Alpha design</v>
      </c>
      <c r="E11" t="str">
        <v>NPI IS</v>
      </c>
      <c r="F11" t="str">
        <v>Mechanical</v>
      </c>
      <c r="G11" t="str">
        <v>Mechanical engineer</v>
      </c>
      <c r="H11" t="str">
        <v>Jiny Park</v>
      </c>
      <c r="I11" s="20">
        <v>0</v>
      </c>
      <c r="J11" s="20">
        <v>0</v>
      </c>
      <c r="K11" s="16">
        <v>0</v>
      </c>
      <c r="L11" s="16">
        <v>1</v>
      </c>
      <c r="M11" s="16">
        <v>1</v>
      </c>
      <c r="N11" s="16">
        <v>0.5</v>
      </c>
      <c r="O11" s="16">
        <v>0.5</v>
      </c>
      <c r="P11" s="16">
        <v>0.5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</row>
    <row r="12" spans="1:53">
      <c r="A12">
        <v>11</v>
      </c>
      <c r="B12" t="str">
        <v>Cancelled</v>
      </c>
      <c r="C12" t="str">
        <v>Cancelled</v>
      </c>
      <c r="D12" t="str">
        <v>Hermes</v>
      </c>
      <c r="E12" t="str">
        <v>Control Eng.</v>
      </c>
      <c r="F12" t="str">
        <v>Software</v>
      </c>
      <c r="G12" t="str">
        <v>Software engineer</v>
      </c>
      <c r="H12" t="str">
        <v>Roy Choi</v>
      </c>
      <c r="I12" s="20">
        <v>0</v>
      </c>
      <c r="J12" s="20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>
      <c r="A13">
        <v>12</v>
      </c>
      <c r="B13" t="str">
        <v>Cancelled</v>
      </c>
      <c r="C13" t="str">
        <v>Cancelled</v>
      </c>
      <c r="D13" t="str">
        <v>Hermes</v>
      </c>
      <c r="E13" t="str">
        <v>Control Eng.</v>
      </c>
      <c r="F13" t="str">
        <v>Software</v>
      </c>
      <c r="G13" t="str">
        <v>SW test engineer</v>
      </c>
      <c r="H13" t="str">
        <v>Moonsu Cho</v>
      </c>
      <c r="I13" s="20">
        <v>0</v>
      </c>
      <c r="J13" s="20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>
      <c r="A14">
        <v>13</v>
      </c>
      <c r="B14" t="str">
        <v>Active</v>
      </c>
      <c r="C14" t="str">
        <v>Active</v>
      </c>
      <c r="D14" t="str">
        <v>LPLN TOP 150 support</v>
      </c>
      <c r="E14" t="str">
        <v>NPI IS</v>
      </c>
      <c r="F14" t="str">
        <v>System 3</v>
      </c>
      <c r="G14" t="str">
        <v>Tech Lead</v>
      </c>
      <c r="H14" t="str">
        <v>Grace Ji</v>
      </c>
      <c r="I14" s="20">
        <v>0</v>
      </c>
      <c r="J14" s="20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0.5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</row>
    <row r="15" spans="1:53">
      <c r="A15">
        <v>14</v>
      </c>
      <c r="B15" t="str">
        <v>Active</v>
      </c>
      <c r="C15" t="str">
        <v>Active</v>
      </c>
      <c r="D15" t="str">
        <v>LPLN TOP 150 support</v>
      </c>
      <c r="E15" t="str">
        <v>NPI IS</v>
      </c>
      <c r="F15" t="str">
        <v>System 1</v>
      </c>
      <c r="G15" t="str">
        <v>System engineer</v>
      </c>
      <c r="H15" t="str">
        <v>Ricky Kim</v>
      </c>
      <c r="I15" s="20">
        <v>0</v>
      </c>
      <c r="J15" s="20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0.5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>
      <c r="A16">
        <v>15</v>
      </c>
      <c r="B16" t="str">
        <v>Active</v>
      </c>
      <c r="C16" t="str">
        <v>Active</v>
      </c>
      <c r="D16" t="str">
        <v>LPLN TOP 150 support</v>
      </c>
      <c r="E16" t="str">
        <v>NPI IS</v>
      </c>
      <c r="F16" t="str">
        <v>System 1</v>
      </c>
      <c r="G16" t="str">
        <v>Service engineer</v>
      </c>
      <c r="H16" t="str">
        <v>Chan Hwang</v>
      </c>
      <c r="I16" s="20">
        <v>0</v>
      </c>
      <c r="J16" s="20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0.5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>
      <c r="A17">
        <v>1</v>
      </c>
      <c r="B17" t="str">
        <v>Active</v>
      </c>
      <c r="C17" t="str">
        <v>Active</v>
      </c>
      <c r="D17" t="str">
        <v>Micron A&amp;D</v>
      </c>
      <c r="E17" t="str">
        <v>PMO</v>
      </c>
      <c r="F17" t="str">
        <v>* Manager</v>
      </c>
      <c r="G17" t="str">
        <v>* Manager</v>
      </c>
      <c r="H17" t="str">
        <v>Jinney Lee</v>
      </c>
      <c r="I17" s="20">
        <v>45742</v>
      </c>
      <c r="J17" s="20">
        <v>45742</v>
      </c>
      <c r="K17" s="16">
        <v>0.2</v>
      </c>
      <c r="L17" s="16">
        <v>0.2</v>
      </c>
      <c r="M17" s="16">
        <v>0.2</v>
      </c>
      <c r="N17" s="16">
        <v>0.2</v>
      </c>
      <c r="O17" s="16">
        <v>0.2</v>
      </c>
      <c r="P17" s="16">
        <v>0.2</v>
      </c>
      <c r="Q17" s="16">
        <v>0.2</v>
      </c>
      <c r="R17" s="16">
        <v>0.2</v>
      </c>
      <c r="S17" s="16">
        <v>0.2</v>
      </c>
      <c r="T17" s="16">
        <v>0.2</v>
      </c>
      <c r="U17" s="16">
        <v>0.2</v>
      </c>
      <c r="V17" s="16">
        <v>0.2</v>
      </c>
      <c r="W17" s="16">
        <v>0.2</v>
      </c>
      <c r="X17" s="16">
        <v>0.2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>
      <c r="A18">
        <v>2</v>
      </c>
      <c r="B18" t="str">
        <v>Active</v>
      </c>
      <c r="C18" t="str">
        <v>Active</v>
      </c>
      <c r="D18" t="str">
        <v>Micron A&amp;D</v>
      </c>
      <c r="E18" t="str">
        <v>PMO</v>
      </c>
      <c r="F18" t="str">
        <v>PM</v>
      </c>
      <c r="G18" t="str">
        <v>PM</v>
      </c>
      <c r="H18" t="str">
        <v>Eugene Lee</v>
      </c>
      <c r="I18" s="20">
        <v>45742</v>
      </c>
      <c r="J18" s="20">
        <v>45742</v>
      </c>
      <c r="K18" s="16">
        <v>0.9</v>
      </c>
      <c r="L18" s="16">
        <v>0.9</v>
      </c>
      <c r="M18" s="16">
        <v>0.9</v>
      </c>
      <c r="N18" s="16">
        <v>0.9</v>
      </c>
      <c r="O18" s="16">
        <v>0.9</v>
      </c>
      <c r="P18" s="16">
        <v>0.1</v>
      </c>
      <c r="Q18" s="16">
        <v>0.9</v>
      </c>
      <c r="R18" s="16">
        <v>0.9</v>
      </c>
      <c r="S18" s="16">
        <v>0.9</v>
      </c>
      <c r="T18" s="16">
        <v>0.9</v>
      </c>
      <c r="U18" s="16">
        <v>0.9</v>
      </c>
      <c r="V18" s="16">
        <v>0.9</v>
      </c>
      <c r="W18" s="16">
        <v>0.9</v>
      </c>
      <c r="X18" s="16">
        <v>0.9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>
      <c r="A19">
        <v>3</v>
      </c>
      <c r="B19" t="str">
        <v>Active</v>
      </c>
      <c r="C19" t="str">
        <v>Active</v>
      </c>
      <c r="D19" t="str">
        <v>Micron A&amp;D</v>
      </c>
      <c r="E19" t="str">
        <v>NPI IS</v>
      </c>
      <c r="F19" t="str">
        <v>* Manager</v>
      </c>
      <c r="G19" t="str">
        <v>* Manager</v>
      </c>
      <c r="H19" t="str">
        <v>Dorothy Noh</v>
      </c>
      <c r="I19" s="20">
        <v>45742</v>
      </c>
      <c r="J19" s="20">
        <v>45742</v>
      </c>
      <c r="K19" s="16">
        <v>0.2</v>
      </c>
      <c r="L19" s="16">
        <v>0.2</v>
      </c>
      <c r="M19" s="16">
        <v>0.2</v>
      </c>
      <c r="N19" s="16">
        <v>0.1</v>
      </c>
      <c r="O19" s="16">
        <v>0.1</v>
      </c>
      <c r="P19" s="16">
        <v>0.1</v>
      </c>
      <c r="Q19" s="16">
        <v>0.1</v>
      </c>
      <c r="R19" s="16">
        <v>0.2</v>
      </c>
      <c r="S19" s="16">
        <v>0.2</v>
      </c>
      <c r="T19" s="16">
        <v>0.2</v>
      </c>
      <c r="U19" s="16">
        <v>0.2</v>
      </c>
      <c r="V19" s="16">
        <v>0.2</v>
      </c>
      <c r="W19" s="16">
        <v>0.2</v>
      </c>
      <c r="X19" s="16">
        <v>0.2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>
      <c r="A20">
        <v>4</v>
      </c>
      <c r="B20" t="str">
        <v>Active</v>
      </c>
      <c r="C20" t="str">
        <v>Active</v>
      </c>
      <c r="D20" t="str">
        <v>Micron A&amp;D</v>
      </c>
      <c r="E20" t="str">
        <v>NPI IS</v>
      </c>
      <c r="F20" t="str">
        <v>Mechanical</v>
      </c>
      <c r="G20" t="str">
        <v>Leader</v>
      </c>
      <c r="H20" t="str">
        <v>Jeremy Park</v>
      </c>
      <c r="I20" s="20">
        <v>45742</v>
      </c>
      <c r="J20" s="20">
        <v>45742</v>
      </c>
      <c r="K20" s="16">
        <v>0.2</v>
      </c>
      <c r="L20" s="16">
        <v>0.3</v>
      </c>
      <c r="M20" s="16">
        <v>0.3</v>
      </c>
      <c r="N20" s="16">
        <v>0.3</v>
      </c>
      <c r="O20" s="16">
        <v>0.3</v>
      </c>
      <c r="P20" s="16">
        <v>0.3</v>
      </c>
      <c r="Q20" s="16">
        <v>0.3</v>
      </c>
      <c r="R20" s="16">
        <v>0.3</v>
      </c>
      <c r="S20" s="16">
        <v>0.3</v>
      </c>
      <c r="T20" s="16">
        <v>0.3</v>
      </c>
      <c r="U20" s="16">
        <v>0.3</v>
      </c>
      <c r="V20" s="16">
        <v>0.3</v>
      </c>
      <c r="W20" s="16">
        <v>0.3</v>
      </c>
      <c r="X20" s="16">
        <v>0.3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>
      <c r="A21">
        <v>5</v>
      </c>
      <c r="B21" t="str">
        <v>Active</v>
      </c>
      <c r="C21" t="str">
        <v>Active</v>
      </c>
      <c r="D21" t="str">
        <v>Micron A&amp;D</v>
      </c>
      <c r="E21" t="str">
        <v>NPI IS</v>
      </c>
      <c r="F21" t="str">
        <v>Mechanical</v>
      </c>
      <c r="G21" t="str">
        <v>Mechanical engineer</v>
      </c>
      <c r="H21" t="str">
        <v>Derek Cho</v>
      </c>
      <c r="I21" s="20">
        <v>45742</v>
      </c>
      <c r="J21" s="20">
        <v>45742</v>
      </c>
      <c r="K21" s="16">
        <v>1</v>
      </c>
      <c r="L21" s="16">
        <v>1</v>
      </c>
      <c r="M21" s="16">
        <v>1</v>
      </c>
      <c r="N21" s="16">
        <v>0.5</v>
      </c>
      <c r="O21" s="16">
        <v>0</v>
      </c>
      <c r="P21" s="16">
        <v>0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>
      <c r="A22">
        <v>6</v>
      </c>
      <c r="B22" t="str">
        <v>Active</v>
      </c>
      <c r="C22" t="str">
        <v>Active</v>
      </c>
      <c r="D22" t="str">
        <v>Micron A&amp;D</v>
      </c>
      <c r="E22" t="str">
        <v>NPI IS</v>
      </c>
      <c r="F22" t="str">
        <v>Mechanical</v>
      </c>
      <c r="G22" t="str">
        <v>Mechanical engineer</v>
      </c>
      <c r="H22" t="str">
        <v>Jiny Park</v>
      </c>
      <c r="I22" s="20">
        <v>45742</v>
      </c>
      <c r="J22" s="20">
        <v>45742</v>
      </c>
      <c r="K22" s="16">
        <v>0.5</v>
      </c>
      <c r="L22" s="16">
        <v>0</v>
      </c>
      <c r="M22" s="16">
        <v>0</v>
      </c>
      <c r="N22" s="16">
        <v>0.5</v>
      </c>
      <c r="O22" s="16">
        <v>0</v>
      </c>
      <c r="P22" s="16">
        <v>0</v>
      </c>
      <c r="Q22" s="16">
        <v>0</v>
      </c>
      <c r="R22" s="16">
        <v>0</v>
      </c>
      <c r="S22" s="16">
        <v>0.5</v>
      </c>
      <c r="T22" s="16">
        <v>0.5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>
      <c r="A23">
        <v>7</v>
      </c>
      <c r="B23" t="str">
        <v>Active</v>
      </c>
      <c r="C23" t="str">
        <v>Active</v>
      </c>
      <c r="D23" t="str">
        <v>Micron A&amp;D</v>
      </c>
      <c r="E23" t="str">
        <v>NPI IS</v>
      </c>
      <c r="F23" t="str">
        <v>Mechanical</v>
      </c>
      <c r="G23" t="str">
        <v>Mechanical engineer</v>
      </c>
      <c r="H23" t="str">
        <v>Jayden Lee</v>
      </c>
      <c r="I23" s="20">
        <v>45742</v>
      </c>
      <c r="J23" s="20">
        <v>45742</v>
      </c>
      <c r="K23" s="16">
        <v>0</v>
      </c>
      <c r="L23" s="16">
        <v>0</v>
      </c>
      <c r="M23" s="16">
        <v>1</v>
      </c>
      <c r="N23" s="16">
        <v>0.2</v>
      </c>
      <c r="O23" s="16">
        <v>0</v>
      </c>
      <c r="P23" s="16">
        <v>0</v>
      </c>
      <c r="Q23" s="16">
        <v>1</v>
      </c>
      <c r="R23" s="16">
        <v>0.5</v>
      </c>
      <c r="S23" s="16">
        <v>0.5</v>
      </c>
      <c r="T23" s="16">
        <v>0.5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</row>
    <row r="24" spans="1:53">
      <c r="A24">
        <v>8</v>
      </c>
      <c r="B24" t="str">
        <v>Active</v>
      </c>
      <c r="C24" t="str">
        <v>Active</v>
      </c>
      <c r="D24" t="str">
        <v>Micron A&amp;D</v>
      </c>
      <c r="E24" t="str">
        <v>NPI IS</v>
      </c>
      <c r="F24" t="str">
        <v>System 2</v>
      </c>
      <c r="G24" t="str">
        <v>Tech Lead</v>
      </c>
      <c r="H24" t="str">
        <v>Chad Seo</v>
      </c>
      <c r="I24" s="20">
        <v>45742</v>
      </c>
      <c r="J24" s="20">
        <v>45742</v>
      </c>
      <c r="K24" s="16">
        <v>0.9</v>
      </c>
      <c r="L24" s="16">
        <v>0.9</v>
      </c>
      <c r="M24" s="16">
        <v>0.9</v>
      </c>
      <c r="N24" s="16">
        <v>0</v>
      </c>
      <c r="O24" s="16">
        <v>0</v>
      </c>
      <c r="P24" s="16">
        <v>0</v>
      </c>
      <c r="Q24" s="16">
        <v>0.5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>
      <c r="A25">
        <v>9</v>
      </c>
      <c r="B25" t="str">
        <v>Active</v>
      </c>
      <c r="C25" t="str">
        <v>Active</v>
      </c>
      <c r="D25" t="str">
        <v>Micron A&amp;D</v>
      </c>
      <c r="E25" t="str">
        <v>NPI IS</v>
      </c>
      <c r="F25" t="str">
        <v>System 2</v>
      </c>
      <c r="G25" t="str">
        <v>Tech Lead</v>
      </c>
      <c r="H25" t="str">
        <v>Emma Kim</v>
      </c>
      <c r="I25" s="20">
        <v>45742</v>
      </c>
      <c r="J25" s="20">
        <v>45742</v>
      </c>
      <c r="K25" s="16">
        <v>1</v>
      </c>
      <c r="L25" s="16">
        <v>1</v>
      </c>
      <c r="M25" s="16">
        <v>1</v>
      </c>
      <c r="N25" s="16">
        <v>0.7</v>
      </c>
      <c r="O25" s="16">
        <v>0.1</v>
      </c>
      <c r="P25" s="16">
        <v>0.1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>
      <c r="A26">
        <v>10</v>
      </c>
      <c r="B26" t="str">
        <v>Active</v>
      </c>
      <c r="C26" t="str">
        <v>Active</v>
      </c>
      <c r="D26" t="str">
        <v>Micron A&amp;D</v>
      </c>
      <c r="E26" t="str">
        <v>NPI IS</v>
      </c>
      <c r="F26" t="str">
        <v>System 2</v>
      </c>
      <c r="G26" t="str">
        <v>System engineer</v>
      </c>
      <c r="H26" t="str">
        <v>Jess Kim</v>
      </c>
      <c r="I26" s="20">
        <v>45742</v>
      </c>
      <c r="J26" s="20">
        <v>45742</v>
      </c>
      <c r="K26" s="16">
        <v>1</v>
      </c>
      <c r="L26" s="16">
        <v>1</v>
      </c>
      <c r="M26" s="16">
        <v>1</v>
      </c>
      <c r="N26" s="16">
        <v>0.5</v>
      </c>
      <c r="O26" s="16">
        <v>0.5</v>
      </c>
      <c r="P26" s="16">
        <v>0.5</v>
      </c>
      <c r="Q26" s="16">
        <v>1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>
      <c r="A27">
        <v>11</v>
      </c>
      <c r="B27" t="str">
        <v>Active</v>
      </c>
      <c r="C27" t="str">
        <v>Active</v>
      </c>
      <c r="D27" t="str">
        <v>Micron A&amp;D</v>
      </c>
      <c r="E27" t="str">
        <v>NPI IS</v>
      </c>
      <c r="F27" t="str">
        <v>System 3</v>
      </c>
      <c r="G27" t="str">
        <v>System engineer</v>
      </c>
      <c r="H27" t="str">
        <v>Tred Park</v>
      </c>
      <c r="I27" s="20">
        <v>45742</v>
      </c>
      <c r="J27" s="20">
        <v>45742</v>
      </c>
      <c r="K27" s="16">
        <v>1</v>
      </c>
      <c r="L27" s="16">
        <v>1</v>
      </c>
      <c r="M27" s="16">
        <v>1</v>
      </c>
      <c r="N27" s="16">
        <v>0</v>
      </c>
      <c r="O27" s="16">
        <v>0</v>
      </c>
      <c r="P27" s="16">
        <v>0</v>
      </c>
      <c r="Q27" s="16">
        <v>0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>
      <c r="A28">
        <v>12</v>
      </c>
      <c r="B28" t="str">
        <v>Active</v>
      </c>
      <c r="C28" t="str">
        <v>Active</v>
      </c>
      <c r="D28" t="str">
        <v>Micron A&amp;D</v>
      </c>
      <c r="E28" t="str">
        <v>NPI IS</v>
      </c>
      <c r="F28" t="str">
        <v>System 2</v>
      </c>
      <c r="G28" t="str">
        <v>System engineer</v>
      </c>
      <c r="H28" t="str">
        <v>Stella Lim</v>
      </c>
      <c r="I28" s="20">
        <v>45742</v>
      </c>
      <c r="J28" s="20">
        <v>45742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>
      <c r="A29">
        <v>13</v>
      </c>
      <c r="B29" t="str">
        <v>Active</v>
      </c>
      <c r="C29" t="str">
        <v>Active</v>
      </c>
      <c r="D29" t="str">
        <v>Micron A&amp;D</v>
      </c>
      <c r="E29" t="str">
        <v>NPI IS</v>
      </c>
      <c r="F29" t="str">
        <v>System 2</v>
      </c>
      <c r="G29" t="str">
        <v>Service engineer</v>
      </c>
      <c r="H29" t="str">
        <v>Sophie Kim</v>
      </c>
      <c r="I29" s="20">
        <v>45742</v>
      </c>
      <c r="J29" s="20">
        <v>45742</v>
      </c>
      <c r="K29" s="16">
        <v>1</v>
      </c>
      <c r="L29" s="16">
        <v>1</v>
      </c>
      <c r="M29" s="16">
        <v>1</v>
      </c>
      <c r="N29" s="16">
        <v>0</v>
      </c>
      <c r="O29" s="16">
        <v>0</v>
      </c>
      <c r="P29" s="16">
        <v>0.5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>
      <c r="A30">
        <v>14</v>
      </c>
      <c r="B30" t="str">
        <v>Active</v>
      </c>
      <c r="C30" t="str">
        <v>Active</v>
      </c>
      <c r="D30" t="str">
        <v>Micron A&amp;D</v>
      </c>
      <c r="E30" t="str">
        <v>Engineering</v>
      </c>
      <c r="F30" t="str">
        <v>* Manager</v>
      </c>
      <c r="G30" t="str">
        <v>* Eng Manager</v>
      </c>
      <c r="H30" t="str">
        <v>JiYoung Son</v>
      </c>
      <c r="I30" s="20">
        <v>45742</v>
      </c>
      <c r="J30" s="20">
        <v>45742</v>
      </c>
      <c r="K30" s="16">
        <v>0.1</v>
      </c>
      <c r="L30" s="16">
        <v>0.1</v>
      </c>
      <c r="M30" s="16">
        <v>0.1</v>
      </c>
      <c r="N30" s="16">
        <v>0.1</v>
      </c>
      <c r="O30" s="16">
        <v>0.1</v>
      </c>
      <c r="P30" s="16">
        <v>0.1</v>
      </c>
      <c r="Q30" s="16">
        <v>0.1</v>
      </c>
      <c r="R30" s="16">
        <v>0.1</v>
      </c>
      <c r="S30" s="16">
        <v>0.1</v>
      </c>
      <c r="T30" s="16">
        <v>0.1</v>
      </c>
      <c r="U30" s="16">
        <v>0.1</v>
      </c>
      <c r="V30" s="16">
        <v>0.1</v>
      </c>
      <c r="W30" s="16">
        <v>0.1</v>
      </c>
      <c r="X30" s="16">
        <v>0.1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>
      <c r="A31">
        <v>15</v>
      </c>
      <c r="B31" t="str">
        <v>Active</v>
      </c>
      <c r="C31" t="str">
        <v>Active</v>
      </c>
      <c r="D31" t="str">
        <v>Micron A&amp;D</v>
      </c>
      <c r="E31" t="str">
        <v>Control Eng.</v>
      </c>
      <c r="F31" t="str">
        <v>* Manager</v>
      </c>
      <c r="G31" t="str">
        <v>* Manager</v>
      </c>
      <c r="H31" t="str">
        <v>Mogen Seo</v>
      </c>
      <c r="I31" s="20">
        <v>45742</v>
      </c>
      <c r="J31" s="20">
        <v>45742</v>
      </c>
      <c r="K31" s="16">
        <v>0.1</v>
      </c>
      <c r="L31" s="16">
        <v>0.1</v>
      </c>
      <c r="M31" s="16">
        <v>0.1</v>
      </c>
      <c r="N31" s="16">
        <v>0.1</v>
      </c>
      <c r="O31" s="16">
        <v>0.1</v>
      </c>
      <c r="P31" s="16">
        <v>0.1</v>
      </c>
      <c r="Q31" s="16">
        <v>0.1</v>
      </c>
      <c r="R31" s="16">
        <v>0.1</v>
      </c>
      <c r="S31" s="16">
        <v>0.1</v>
      </c>
      <c r="T31" s="16">
        <v>0.1</v>
      </c>
      <c r="U31" s="16">
        <v>0.1</v>
      </c>
      <c r="V31" s="16">
        <v>0.1</v>
      </c>
      <c r="W31" s="16">
        <v>0.1</v>
      </c>
      <c r="X31" s="16">
        <v>0.1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>
      <c r="A32">
        <v>16</v>
      </c>
      <c r="B32" t="str">
        <v>Active</v>
      </c>
      <c r="C32" t="str">
        <v>Active</v>
      </c>
      <c r="D32" t="str">
        <v>Micron A&amp;D</v>
      </c>
      <c r="E32" t="str">
        <v>Control Eng.</v>
      </c>
      <c r="F32" t="str">
        <v>Electrical</v>
      </c>
      <c r="G32" t="str">
        <v>Leader</v>
      </c>
      <c r="H32" t="str">
        <v>Joshua Im</v>
      </c>
      <c r="I32" s="20">
        <v>45742</v>
      </c>
      <c r="J32" s="20">
        <v>45742</v>
      </c>
      <c r="K32" s="16">
        <v>0.3</v>
      </c>
      <c r="L32" s="16">
        <v>0.3</v>
      </c>
      <c r="M32" s="16">
        <v>0.3</v>
      </c>
      <c r="N32" s="16">
        <v>0</v>
      </c>
      <c r="O32" s="16">
        <v>0</v>
      </c>
      <c r="P32" s="16">
        <v>0</v>
      </c>
      <c r="Q32" s="16">
        <v>0.3</v>
      </c>
      <c r="R32" s="16">
        <v>0.3</v>
      </c>
      <c r="S32" s="16">
        <v>0.3</v>
      </c>
      <c r="T32" s="16">
        <v>0.3</v>
      </c>
      <c r="U32" s="16">
        <v>0.3</v>
      </c>
      <c r="V32" s="16">
        <v>0.3</v>
      </c>
      <c r="W32" s="16">
        <v>0.3</v>
      </c>
      <c r="X32" s="16">
        <v>0.3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>
      <c r="A33">
        <v>17</v>
      </c>
      <c r="B33" t="str">
        <v>Active</v>
      </c>
      <c r="C33" t="str">
        <v>Active</v>
      </c>
      <c r="D33" t="str">
        <v>Micron A&amp;D</v>
      </c>
      <c r="E33" t="str">
        <v>Control Eng.</v>
      </c>
      <c r="F33" t="str">
        <v>Electrical</v>
      </c>
      <c r="G33" t="str">
        <v>Electrical engineer</v>
      </c>
      <c r="H33" t="str">
        <v>Dean Choi</v>
      </c>
      <c r="I33" s="20">
        <v>45742</v>
      </c>
      <c r="J33" s="20">
        <v>45742</v>
      </c>
      <c r="K33" s="16">
        <v>1</v>
      </c>
      <c r="L33" s="16">
        <v>1</v>
      </c>
      <c r="M33" s="16">
        <v>1</v>
      </c>
      <c r="N33" s="16">
        <v>0</v>
      </c>
      <c r="O33" s="16">
        <v>0</v>
      </c>
      <c r="P33" s="16">
        <v>0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1</v>
      </c>
      <c r="W33" s="16">
        <v>1</v>
      </c>
      <c r="X33" s="16">
        <v>1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>
      <c r="A34">
        <v>18</v>
      </c>
      <c r="B34" t="str">
        <v>Active</v>
      </c>
      <c r="C34" t="str">
        <v>Active</v>
      </c>
      <c r="D34" t="str">
        <v>Micron A&amp;D</v>
      </c>
      <c r="E34" t="str">
        <v>Control Eng.</v>
      </c>
      <c r="F34" t="str">
        <v>Software</v>
      </c>
      <c r="G34" t="str">
        <v>Leader</v>
      </c>
      <c r="H34" t="str">
        <v>Gerald Park</v>
      </c>
      <c r="I34" s="20">
        <v>45742</v>
      </c>
      <c r="J34" s="20">
        <v>45742</v>
      </c>
      <c r="K34" s="16">
        <v>0.3</v>
      </c>
      <c r="L34" s="16">
        <v>0.3</v>
      </c>
      <c r="M34" s="16">
        <v>0.2</v>
      </c>
      <c r="N34" s="16">
        <v>0.2</v>
      </c>
      <c r="O34" s="16">
        <v>0.2</v>
      </c>
      <c r="P34" s="16">
        <v>0.2</v>
      </c>
      <c r="Q34" s="16">
        <v>0.2</v>
      </c>
      <c r="R34" s="16">
        <v>0.2</v>
      </c>
      <c r="S34" s="16">
        <v>0.2</v>
      </c>
      <c r="T34" s="16">
        <v>0.2</v>
      </c>
      <c r="U34" s="16">
        <v>0.2</v>
      </c>
      <c r="V34" s="16">
        <v>0.2</v>
      </c>
      <c r="W34" s="16">
        <v>0.2</v>
      </c>
      <c r="X34" s="16">
        <v>0.2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>
      <c r="A35">
        <v>19</v>
      </c>
      <c r="B35" t="str">
        <v>Active</v>
      </c>
      <c r="C35" t="str">
        <v>Active</v>
      </c>
      <c r="D35" t="str">
        <v>Micron A&amp;D</v>
      </c>
      <c r="E35" t="str">
        <v>Control Eng.</v>
      </c>
      <c r="F35" t="str">
        <v>Software</v>
      </c>
      <c r="G35" t="str">
        <v>Software engineer</v>
      </c>
      <c r="H35" t="str">
        <v>Software engineer</v>
      </c>
      <c r="I35" s="20">
        <v>45742</v>
      </c>
      <c r="J35" s="20">
        <v>45742</v>
      </c>
      <c r="K35" s="16">
        <v>1</v>
      </c>
      <c r="L35" s="16">
        <v>1</v>
      </c>
      <c r="M35" s="16">
        <v>0.5</v>
      </c>
      <c r="N35" s="16">
        <v>0.5</v>
      </c>
      <c r="O35" s="16">
        <v>0.5</v>
      </c>
      <c r="P35" s="16">
        <v>0.2</v>
      </c>
      <c r="Q35" s="16">
        <v>0.2</v>
      </c>
      <c r="R35" s="16">
        <v>0.2</v>
      </c>
      <c r="S35" s="16">
        <v>0.2</v>
      </c>
      <c r="T35" s="16">
        <v>0.2</v>
      </c>
      <c r="U35" s="16">
        <v>0.2</v>
      </c>
      <c r="V35" s="16">
        <v>0.2</v>
      </c>
      <c r="W35" s="16">
        <v>0.2</v>
      </c>
      <c r="X35" s="16">
        <v>0.2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>
      <c r="A36">
        <v>20</v>
      </c>
      <c r="B36" t="str">
        <v>Active</v>
      </c>
      <c r="C36" t="str">
        <v>Active</v>
      </c>
      <c r="D36" t="str">
        <v>Micron A&amp;D</v>
      </c>
      <c r="E36" t="str">
        <v>Control Eng.</v>
      </c>
      <c r="F36" t="str">
        <v>Software</v>
      </c>
      <c r="G36" t="str">
        <v>SW test engineer</v>
      </c>
      <c r="H36" t="str">
        <v>Moonsu Cho</v>
      </c>
      <c r="I36" s="20">
        <v>45742</v>
      </c>
      <c r="J36" s="20">
        <v>45742</v>
      </c>
      <c r="K36" s="16">
        <v>0.5</v>
      </c>
      <c r="L36" s="16">
        <v>0.5</v>
      </c>
      <c r="M36" s="16">
        <v>0.5</v>
      </c>
      <c r="N36" s="16">
        <v>0.5</v>
      </c>
      <c r="O36" s="16">
        <v>0.5</v>
      </c>
      <c r="P36" s="16">
        <v>0.5</v>
      </c>
      <c r="Q36" s="16">
        <v>0.5</v>
      </c>
      <c r="R36" s="16">
        <v>0.5</v>
      </c>
      <c r="S36" s="16">
        <v>0.5</v>
      </c>
      <c r="T36" s="16">
        <v>0.5</v>
      </c>
      <c r="U36" s="16">
        <v>0.5</v>
      </c>
      <c r="V36" s="16">
        <v>0.5</v>
      </c>
      <c r="W36" s="16">
        <v>0.5</v>
      </c>
      <c r="X36" s="16">
        <v>0.5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>
      <c r="A37">
        <v>21</v>
      </c>
      <c r="B37" t="str">
        <v>Active</v>
      </c>
      <c r="C37" t="str">
        <v>Active</v>
      </c>
      <c r="D37" t="str">
        <v>Micron A&amp;D</v>
      </c>
      <c r="E37" t="str">
        <v>NPI IS</v>
      </c>
      <c r="F37" t="str">
        <v>System 1</v>
      </c>
      <c r="G37" t="str">
        <v>System engineer</v>
      </c>
      <c r="H37" t="str">
        <v>Chloe Jeong</v>
      </c>
      <c r="I37" s="20">
        <v>45742</v>
      </c>
      <c r="J37" s="20">
        <v>45742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>
      <c r="A38">
        <v>22</v>
      </c>
      <c r="B38" t="str">
        <v>Active</v>
      </c>
      <c r="C38" t="str">
        <v>Active</v>
      </c>
      <c r="D38" t="str">
        <v>Micron A&amp;D</v>
      </c>
      <c r="E38" t="str">
        <v>NPI IS</v>
      </c>
      <c r="F38" t="str">
        <v>System 2</v>
      </c>
      <c r="G38" t="str">
        <v>System engineer</v>
      </c>
      <c r="H38" t="str">
        <v>Kevin Ko</v>
      </c>
      <c r="I38" s="20">
        <v>45742</v>
      </c>
      <c r="J38" s="20">
        <v>45742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0.5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>
      <c r="A39">
        <v>23</v>
      </c>
      <c r="B39" t="str">
        <v>Active</v>
      </c>
      <c r="C39" t="str">
        <v>Active</v>
      </c>
      <c r="D39" t="str">
        <v>Micron A&amp;D</v>
      </c>
      <c r="E39">
        <v>0</v>
      </c>
      <c r="F39">
        <v>0</v>
      </c>
      <c r="G39">
        <v>0</v>
      </c>
      <c r="H39" t="str">
        <v>Gate Plan</v>
      </c>
      <c r="I39" s="20">
        <v>45742</v>
      </c>
      <c r="J39" s="20">
        <v>45742</v>
      </c>
      <c r="K39" s="16">
        <v>0</v>
      </c>
      <c r="L39" s="16" t="str">
        <v>Update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 t="str">
        <v>G5</v>
      </c>
      <c r="U39" s="16">
        <v>0</v>
      </c>
      <c r="V39" s="16">
        <v>0</v>
      </c>
      <c r="W39" s="16">
        <v>0</v>
      </c>
      <c r="X39" s="16" t="str">
        <v>G6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>
      <c r="A40">
        <v>1</v>
      </c>
      <c r="B40" t="str">
        <v>Active</v>
      </c>
      <c r="C40" t="str">
        <v>Active</v>
      </c>
      <c r="D40" t="str">
        <v>Tumalo Ph2</v>
      </c>
      <c r="E40" t="str">
        <v>Engineering</v>
      </c>
      <c r="F40" t="str">
        <v>* Manager</v>
      </c>
      <c r="G40" t="str">
        <v>* Eng Manager</v>
      </c>
      <c r="H40" t="str">
        <v>Jiyoung Son</v>
      </c>
      <c r="I40" s="20">
        <v>46113</v>
      </c>
      <c r="J40" s="20">
        <v>46293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0.1</v>
      </c>
      <c r="S40" s="16">
        <v>0.1</v>
      </c>
      <c r="T40" s="16">
        <v>0.1</v>
      </c>
      <c r="U40" s="16">
        <v>0.1</v>
      </c>
      <c r="V40" s="16">
        <v>0.1</v>
      </c>
      <c r="W40" s="16">
        <v>0.1</v>
      </c>
      <c r="X40" s="16">
        <v>0.1</v>
      </c>
      <c r="Y40" s="16">
        <v>0.1</v>
      </c>
      <c r="Z40" s="16">
        <v>0.1</v>
      </c>
      <c r="AA40" s="16">
        <v>0.1</v>
      </c>
      <c r="AB40" s="16">
        <v>0.1</v>
      </c>
      <c r="AC40" s="16">
        <v>0.1</v>
      </c>
      <c r="AD40" s="16">
        <v>0.1</v>
      </c>
      <c r="AE40" s="16">
        <v>0.1</v>
      </c>
      <c r="AF40" s="16">
        <v>0.1</v>
      </c>
      <c r="AG40" s="16">
        <v>0.1</v>
      </c>
      <c r="AH40" s="16">
        <v>0.1</v>
      </c>
      <c r="AI40" s="16">
        <v>0.1</v>
      </c>
      <c r="AJ40" s="16">
        <v>0.1</v>
      </c>
      <c r="AK40" s="16">
        <v>0.1</v>
      </c>
      <c r="AL40" s="16">
        <v>0.1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>
      <c r="A41">
        <v>2</v>
      </c>
      <c r="B41" t="str">
        <v>Active</v>
      </c>
      <c r="C41" t="str">
        <v>Active</v>
      </c>
      <c r="D41" t="str">
        <v>Tumalo Ph2</v>
      </c>
      <c r="E41" t="str">
        <v>PMO</v>
      </c>
      <c r="F41" t="str">
        <v>* Manager</v>
      </c>
      <c r="G41" t="str">
        <v>* Manager</v>
      </c>
      <c r="H41" t="str">
        <v>Jinney Lee</v>
      </c>
      <c r="I41" s="20">
        <v>46113</v>
      </c>
      <c r="J41" s="20">
        <v>46293</v>
      </c>
      <c r="K41" s="16">
        <v>0</v>
      </c>
      <c r="L41" s="16">
        <v>0.3</v>
      </c>
      <c r="M41" s="16">
        <v>0.3</v>
      </c>
      <c r="N41" s="16">
        <v>0.3</v>
      </c>
      <c r="O41" s="16">
        <v>0.3</v>
      </c>
      <c r="P41" s="16">
        <v>0.3</v>
      </c>
      <c r="Q41" s="16">
        <v>0.3</v>
      </c>
      <c r="R41" s="16">
        <v>0.3</v>
      </c>
      <c r="S41" s="16">
        <v>0.3</v>
      </c>
      <c r="T41" s="16">
        <v>0.3</v>
      </c>
      <c r="U41" s="16">
        <v>0.3</v>
      </c>
      <c r="V41" s="16">
        <v>0.3</v>
      </c>
      <c r="W41" s="16">
        <v>0.3</v>
      </c>
      <c r="X41" s="16">
        <v>0.3</v>
      </c>
      <c r="Y41" s="16">
        <v>0.3</v>
      </c>
      <c r="Z41" s="16">
        <v>0.3</v>
      </c>
      <c r="AA41" s="16">
        <v>0.3</v>
      </c>
      <c r="AB41" s="16">
        <v>0.3</v>
      </c>
      <c r="AC41" s="16">
        <v>0.3</v>
      </c>
      <c r="AD41" s="16">
        <v>0.2</v>
      </c>
      <c r="AE41" s="16">
        <v>0.2</v>
      </c>
      <c r="AF41" s="16">
        <v>0.2</v>
      </c>
      <c r="AG41" s="16">
        <v>0.2</v>
      </c>
      <c r="AH41" s="16">
        <v>0.1</v>
      </c>
      <c r="AI41" s="16">
        <v>0.1</v>
      </c>
      <c r="AJ41" s="16">
        <v>0.1</v>
      </c>
      <c r="AK41" s="16">
        <v>0.1</v>
      </c>
      <c r="AL41" s="16">
        <v>0.1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>
      <c r="A42">
        <v>3</v>
      </c>
      <c r="B42" t="str">
        <v>Active</v>
      </c>
      <c r="C42" t="str">
        <v>Active</v>
      </c>
      <c r="D42" t="str">
        <v>Tumalo Ph2</v>
      </c>
      <c r="E42" t="str">
        <v>PMO</v>
      </c>
      <c r="F42" t="str">
        <v>PM</v>
      </c>
      <c r="G42" t="str">
        <v>PM</v>
      </c>
      <c r="H42" t="str">
        <v>Evan Lee</v>
      </c>
      <c r="I42" s="20">
        <v>46113</v>
      </c>
      <c r="J42" s="20">
        <v>46293</v>
      </c>
      <c r="K42" s="16">
        <v>0</v>
      </c>
      <c r="L42" s="16">
        <v>0.5</v>
      </c>
      <c r="M42" s="16">
        <v>0.5</v>
      </c>
      <c r="N42" s="16">
        <v>0.8</v>
      </c>
      <c r="O42" s="16">
        <v>0.8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0.5</v>
      </c>
      <c r="AI42" s="16">
        <v>0.5</v>
      </c>
      <c r="AJ42" s="16">
        <v>0.5</v>
      </c>
      <c r="AK42" s="16">
        <v>0.5</v>
      </c>
      <c r="AL42" s="16">
        <v>0.5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>
      <c r="A43">
        <v>4</v>
      </c>
      <c r="B43" t="str">
        <v>Active</v>
      </c>
      <c r="C43" t="str">
        <v>Active</v>
      </c>
      <c r="D43" t="str">
        <v>Tumalo Ph2</v>
      </c>
      <c r="E43" t="str">
        <v>NPI IS</v>
      </c>
      <c r="F43" t="str">
        <v>* Manager</v>
      </c>
      <c r="G43" t="str">
        <v>* Manager</v>
      </c>
      <c r="H43" t="str">
        <v>Dorothy Noh</v>
      </c>
      <c r="I43" s="20">
        <v>46478</v>
      </c>
      <c r="J43" s="20">
        <v>46658</v>
      </c>
      <c r="K43" s="16">
        <v>0</v>
      </c>
      <c r="L43" s="16">
        <v>0.3</v>
      </c>
      <c r="M43" s="16">
        <v>0.3</v>
      </c>
      <c r="N43" s="16">
        <v>0.3</v>
      </c>
      <c r="O43" s="16">
        <v>0.3</v>
      </c>
      <c r="P43" s="16">
        <v>0.3</v>
      </c>
      <c r="Q43" s="16">
        <v>0.3</v>
      </c>
      <c r="R43" s="16">
        <v>0.3</v>
      </c>
      <c r="S43" s="16">
        <v>0.3</v>
      </c>
      <c r="T43" s="16">
        <v>0.3</v>
      </c>
      <c r="U43" s="16">
        <v>0.3</v>
      </c>
      <c r="V43" s="16">
        <v>0.3</v>
      </c>
      <c r="W43" s="16">
        <v>0.3</v>
      </c>
      <c r="X43" s="16">
        <v>0.3</v>
      </c>
      <c r="Y43" s="16">
        <v>0.3</v>
      </c>
      <c r="Z43" s="16">
        <v>0.3</v>
      </c>
      <c r="AA43" s="16">
        <v>0.3</v>
      </c>
      <c r="AB43" s="16">
        <v>0.3</v>
      </c>
      <c r="AC43" s="16">
        <v>0.3</v>
      </c>
      <c r="AD43" s="16">
        <v>0.3</v>
      </c>
      <c r="AE43" s="16">
        <v>0.3</v>
      </c>
      <c r="AF43" s="16">
        <v>0.3</v>
      </c>
      <c r="AG43" s="16">
        <v>0.3</v>
      </c>
      <c r="AH43" s="16">
        <v>0.2</v>
      </c>
      <c r="AI43" s="16">
        <v>0.2</v>
      </c>
      <c r="AJ43" s="16">
        <v>0.2</v>
      </c>
      <c r="AK43" s="16">
        <v>0.2</v>
      </c>
      <c r="AL43" s="16">
        <v>0.2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>
      <c r="A44">
        <v>5</v>
      </c>
      <c r="B44" t="str">
        <v>Active</v>
      </c>
      <c r="C44" t="str">
        <v>Active</v>
      </c>
      <c r="D44" t="str">
        <v>Tumalo Ph2</v>
      </c>
      <c r="E44" t="str">
        <v>NPI IS</v>
      </c>
      <c r="F44" t="str">
        <v>System 3</v>
      </c>
      <c r="G44" t="str">
        <v>Tech Lead</v>
      </c>
      <c r="H44" t="str">
        <v>Jacob Lee</v>
      </c>
      <c r="I44" s="20">
        <v>46478</v>
      </c>
      <c r="J44" s="20">
        <v>46658</v>
      </c>
      <c r="K44" s="16">
        <v>0</v>
      </c>
      <c r="L44" s="16">
        <v>0</v>
      </c>
      <c r="M44" s="16">
        <v>0</v>
      </c>
      <c r="N44" s="16">
        <v>0.4</v>
      </c>
      <c r="O44" s="16">
        <v>0.4</v>
      </c>
      <c r="P44" s="16">
        <v>0.4</v>
      </c>
      <c r="Q44" s="16">
        <v>0.4</v>
      </c>
      <c r="R44" s="16">
        <v>0.4</v>
      </c>
      <c r="S44" s="16">
        <v>0.4</v>
      </c>
      <c r="T44" s="16">
        <v>0.5</v>
      </c>
      <c r="U44" s="16">
        <v>0.5</v>
      </c>
      <c r="V44" s="16">
        <v>0.5</v>
      </c>
      <c r="W44" s="16">
        <v>0.5</v>
      </c>
      <c r="X44" s="16">
        <v>0.5</v>
      </c>
      <c r="Y44" s="16">
        <v>0.5</v>
      </c>
      <c r="Z44" s="16">
        <v>0.5</v>
      </c>
      <c r="AA44" s="16">
        <v>0.5</v>
      </c>
      <c r="AB44" s="16">
        <v>0.5</v>
      </c>
      <c r="AC44" s="16">
        <v>0.5</v>
      </c>
      <c r="AD44" s="16">
        <v>0.5</v>
      </c>
      <c r="AE44" s="16">
        <v>0.5</v>
      </c>
      <c r="AF44" s="16">
        <v>0.5</v>
      </c>
      <c r="AG44" s="16">
        <v>0.5</v>
      </c>
      <c r="AH44" s="16">
        <v>0.5</v>
      </c>
      <c r="AI44" s="16">
        <v>0.5</v>
      </c>
      <c r="AJ44" s="16">
        <v>0.5</v>
      </c>
      <c r="AK44" s="16">
        <v>0.5</v>
      </c>
      <c r="AL44" s="16">
        <v>0.5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</row>
    <row r="45" spans="1:53">
      <c r="A45">
        <v>6</v>
      </c>
      <c r="B45" t="str">
        <v>Active</v>
      </c>
      <c r="C45" t="str">
        <v>Active</v>
      </c>
      <c r="D45" t="str">
        <v>Tumalo Ph2</v>
      </c>
      <c r="E45" t="str">
        <v>NPI IS</v>
      </c>
      <c r="F45" t="str">
        <v>System 3</v>
      </c>
      <c r="G45" t="str">
        <v>Tech Lead</v>
      </c>
      <c r="H45" t="str">
        <v>William Lee</v>
      </c>
      <c r="I45" s="20">
        <v>46478</v>
      </c>
      <c r="J45" s="20">
        <v>46658</v>
      </c>
      <c r="K45" s="16">
        <v>0</v>
      </c>
      <c r="L45" s="16">
        <v>0.9</v>
      </c>
      <c r="M45" s="16">
        <v>0.9</v>
      </c>
      <c r="N45" s="16">
        <v>0.9</v>
      </c>
      <c r="O45" s="16">
        <v>0.9</v>
      </c>
      <c r="P45" s="16">
        <v>0.9</v>
      </c>
      <c r="Q45" s="16">
        <v>0.9</v>
      </c>
      <c r="R45" s="16">
        <v>0.9</v>
      </c>
      <c r="S45" s="16">
        <v>0.9</v>
      </c>
      <c r="T45" s="16">
        <v>0.9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  <c r="AA45" s="16">
        <v>1</v>
      </c>
      <c r="AB45" s="16">
        <v>1</v>
      </c>
      <c r="AC45" s="16">
        <v>1</v>
      </c>
      <c r="AD45" s="16">
        <v>1</v>
      </c>
      <c r="AE45" s="16">
        <v>1</v>
      </c>
      <c r="AF45" s="16">
        <v>1</v>
      </c>
      <c r="AG45" s="16">
        <v>1</v>
      </c>
      <c r="AH45" s="16">
        <v>1</v>
      </c>
      <c r="AI45" s="16">
        <v>1</v>
      </c>
      <c r="AJ45" s="16">
        <v>1</v>
      </c>
      <c r="AK45" s="16">
        <v>1</v>
      </c>
      <c r="AL45" s="16">
        <v>1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>
      <c r="A46">
        <v>7</v>
      </c>
      <c r="B46" t="str">
        <v>Active</v>
      </c>
      <c r="C46" t="str">
        <v>Active</v>
      </c>
      <c r="D46" t="str">
        <v>Tumalo Ph2</v>
      </c>
      <c r="E46" t="str">
        <v>NPI IS</v>
      </c>
      <c r="F46" t="str">
        <v>System 2</v>
      </c>
      <c r="G46" t="str">
        <v>System engineer</v>
      </c>
      <c r="H46" t="str">
        <v>Harry Kwak</v>
      </c>
      <c r="I46" s="20">
        <v>46478</v>
      </c>
      <c r="J46" s="20">
        <v>46658</v>
      </c>
      <c r="K46" s="16">
        <v>0</v>
      </c>
      <c r="L46" s="16">
        <v>0</v>
      </c>
      <c r="M46" s="16">
        <v>0.4</v>
      </c>
      <c r="N46" s="16">
        <v>0.4</v>
      </c>
      <c r="O46" s="16">
        <v>0</v>
      </c>
      <c r="P46" s="16">
        <v>0</v>
      </c>
      <c r="Q46" s="16">
        <v>0.4</v>
      </c>
      <c r="R46" s="16">
        <v>0.5</v>
      </c>
      <c r="S46" s="16">
        <v>0.5</v>
      </c>
      <c r="T46" s="16">
        <v>0.5</v>
      </c>
      <c r="U46" s="16">
        <v>0.5</v>
      </c>
      <c r="V46" s="16">
        <v>0.5</v>
      </c>
      <c r="W46" s="16">
        <v>0.5</v>
      </c>
      <c r="X46" s="16">
        <v>0.5</v>
      </c>
      <c r="Y46" s="16">
        <v>0.5</v>
      </c>
      <c r="Z46" s="16">
        <v>0.5</v>
      </c>
      <c r="AA46" s="16">
        <v>0.5</v>
      </c>
      <c r="AB46" s="16">
        <v>0.5</v>
      </c>
      <c r="AC46" s="16">
        <v>0.5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>
      <c r="A47">
        <v>8</v>
      </c>
      <c r="B47" t="str">
        <v>Active</v>
      </c>
      <c r="C47" t="str">
        <v>Active</v>
      </c>
      <c r="D47" t="str">
        <v>Tumalo Ph2</v>
      </c>
      <c r="E47" t="str">
        <v>NPI IS</v>
      </c>
      <c r="F47" t="str">
        <v>System 3</v>
      </c>
      <c r="G47" t="str">
        <v>System engineer</v>
      </c>
      <c r="H47" t="str">
        <v>Noah Yeom</v>
      </c>
      <c r="I47" s="20">
        <v>46478</v>
      </c>
      <c r="J47" s="20">
        <v>46658</v>
      </c>
      <c r="K47" s="16">
        <v>0</v>
      </c>
      <c r="L47" s="16">
        <v>0</v>
      </c>
      <c r="M47" s="16">
        <v>0.4</v>
      </c>
      <c r="N47" s="16">
        <v>0.4</v>
      </c>
      <c r="O47" s="16">
        <v>0.4</v>
      </c>
      <c r="P47" s="16">
        <v>0.4</v>
      </c>
      <c r="Q47" s="16">
        <v>0.4</v>
      </c>
      <c r="R47" s="16">
        <v>0.4</v>
      </c>
      <c r="S47" s="16">
        <v>0.4</v>
      </c>
      <c r="T47" s="16">
        <v>0.4</v>
      </c>
      <c r="U47" s="16">
        <v>0.4</v>
      </c>
      <c r="V47" s="16">
        <v>0.4</v>
      </c>
      <c r="W47" s="16">
        <v>0.4</v>
      </c>
      <c r="X47" s="16">
        <v>0.4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</row>
    <row r="48" spans="1:53">
      <c r="A48">
        <v>9</v>
      </c>
      <c r="B48" t="str">
        <v>Active</v>
      </c>
      <c r="C48" t="str">
        <v>Active</v>
      </c>
      <c r="D48" t="str">
        <v>Tumalo Ph2</v>
      </c>
      <c r="E48" t="str">
        <v>NPI IS</v>
      </c>
      <c r="F48" t="str">
        <v>System 3</v>
      </c>
      <c r="G48" t="str">
        <v>System engineer</v>
      </c>
      <c r="H48" t="str">
        <v xml:space="preserve">Alyssa Park </v>
      </c>
      <c r="I48" s="20">
        <v>46478</v>
      </c>
      <c r="J48" s="20">
        <v>46658</v>
      </c>
      <c r="K48" s="16">
        <v>0</v>
      </c>
      <c r="L48" s="16">
        <v>0</v>
      </c>
      <c r="M48" s="16">
        <v>0.4</v>
      </c>
      <c r="N48" s="16">
        <v>0.4</v>
      </c>
      <c r="O48" s="16">
        <v>0.4</v>
      </c>
      <c r="P48" s="16">
        <v>0.4</v>
      </c>
      <c r="Q48" s="16">
        <v>0.4</v>
      </c>
      <c r="R48" s="16">
        <v>0.4</v>
      </c>
      <c r="S48" s="16">
        <v>0.4</v>
      </c>
      <c r="T48" s="16">
        <v>0.4</v>
      </c>
      <c r="U48" s="16">
        <v>0.4</v>
      </c>
      <c r="V48" s="16">
        <v>0.4</v>
      </c>
      <c r="W48" s="16">
        <v>0.4</v>
      </c>
      <c r="X48" s="16">
        <v>0.4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</row>
    <row r="49" spans="1:53">
      <c r="A49">
        <v>10</v>
      </c>
      <c r="B49" t="str">
        <v>Active</v>
      </c>
      <c r="C49" t="str">
        <v>Active</v>
      </c>
      <c r="D49" t="str">
        <v>Tumalo Ph2</v>
      </c>
      <c r="E49" t="str">
        <v>NPI IS</v>
      </c>
      <c r="F49" t="str">
        <v>System 1</v>
      </c>
      <c r="G49" t="str">
        <v>System engineer</v>
      </c>
      <c r="H49" t="str">
        <v>Anders You</v>
      </c>
      <c r="I49" s="20">
        <v>46478</v>
      </c>
      <c r="J49" s="20">
        <v>46658</v>
      </c>
      <c r="K49" s="16">
        <v>0</v>
      </c>
      <c r="L49" s="16">
        <v>0</v>
      </c>
      <c r="M49" s="16">
        <v>0</v>
      </c>
      <c r="N49" s="16">
        <v>0.5</v>
      </c>
      <c r="O49" s="16">
        <v>0.5</v>
      </c>
      <c r="P49" s="16">
        <v>0.5</v>
      </c>
      <c r="Q49" s="16">
        <v>0.5</v>
      </c>
      <c r="R49" s="16">
        <v>0.5</v>
      </c>
      <c r="S49" s="16">
        <v>0.5</v>
      </c>
      <c r="T49" s="16">
        <v>0.5</v>
      </c>
      <c r="U49" s="16">
        <v>0.5</v>
      </c>
      <c r="V49" s="16">
        <v>0.5</v>
      </c>
      <c r="W49" s="16">
        <v>0.5</v>
      </c>
      <c r="X49" s="16">
        <v>0.5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1</v>
      </c>
      <c r="AG49" s="16">
        <v>1</v>
      </c>
      <c r="AH49" s="16">
        <v>1</v>
      </c>
      <c r="AI49" s="16">
        <v>1</v>
      </c>
      <c r="AJ49" s="16">
        <v>1</v>
      </c>
      <c r="AK49" s="16">
        <v>1</v>
      </c>
      <c r="AL49" s="16">
        <v>1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>
      <c r="A50">
        <v>11</v>
      </c>
      <c r="B50" t="str">
        <v>Active</v>
      </c>
      <c r="C50" t="str">
        <v>Active</v>
      </c>
      <c r="D50" t="str">
        <v>Tumalo Ph2</v>
      </c>
      <c r="E50" t="str">
        <v>NPI IS</v>
      </c>
      <c r="F50" t="str">
        <v>System 3</v>
      </c>
      <c r="G50" t="str">
        <v>Service engineer</v>
      </c>
      <c r="H50" t="str">
        <v>Fred Lee</v>
      </c>
      <c r="I50" s="20">
        <v>46478</v>
      </c>
      <c r="J50" s="20">
        <v>46658</v>
      </c>
      <c r="K50" s="16">
        <v>0</v>
      </c>
      <c r="L50" s="16">
        <v>0</v>
      </c>
      <c r="M50" s="16">
        <v>0.4</v>
      </c>
      <c r="N50" s="16">
        <v>0.4</v>
      </c>
      <c r="O50" s="16">
        <v>0.4</v>
      </c>
      <c r="P50" s="16">
        <v>0.4</v>
      </c>
      <c r="Q50" s="16">
        <v>0.4</v>
      </c>
      <c r="R50" s="16">
        <v>0.4</v>
      </c>
      <c r="S50" s="16">
        <v>0.4</v>
      </c>
      <c r="T50" s="16">
        <v>0.4</v>
      </c>
      <c r="U50" s="16">
        <v>0.4</v>
      </c>
      <c r="V50" s="16">
        <v>0.4</v>
      </c>
      <c r="W50" s="16">
        <v>0.4</v>
      </c>
      <c r="X50" s="16">
        <v>0.4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1</v>
      </c>
      <c r="AG50" s="16">
        <v>1</v>
      </c>
      <c r="AH50" s="16">
        <v>1</v>
      </c>
      <c r="AI50" s="16">
        <v>1</v>
      </c>
      <c r="AJ50" s="16">
        <v>1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>
      <c r="A51">
        <v>12</v>
      </c>
      <c r="B51" t="str">
        <v>Active</v>
      </c>
      <c r="C51" t="str">
        <v>Active</v>
      </c>
      <c r="D51" t="str">
        <v>Tumalo Ph2</v>
      </c>
      <c r="E51" t="str">
        <v>NPI IS</v>
      </c>
      <c r="F51" t="str">
        <v>System 1</v>
      </c>
      <c r="G51" t="str">
        <v>Service engineer</v>
      </c>
      <c r="H51" t="str">
        <v>Chan Hwang</v>
      </c>
      <c r="I51" s="20">
        <v>46478</v>
      </c>
      <c r="J51" s="20">
        <v>46658</v>
      </c>
      <c r="K51" s="16">
        <v>0</v>
      </c>
      <c r="L51" s="16">
        <v>0</v>
      </c>
      <c r="M51" s="16">
        <v>0.4</v>
      </c>
      <c r="N51" s="16">
        <v>0.4</v>
      </c>
      <c r="O51" s="16">
        <v>0.5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</row>
    <row r="52" spans="1:53">
      <c r="A52">
        <v>13</v>
      </c>
      <c r="B52" t="str">
        <v>Active</v>
      </c>
      <c r="C52" t="str">
        <v>Active</v>
      </c>
      <c r="D52" t="str">
        <v>Tumalo Ph2</v>
      </c>
      <c r="E52" t="str">
        <v>NPI IS</v>
      </c>
      <c r="F52" t="str">
        <v>System 2</v>
      </c>
      <c r="G52" t="str">
        <v>System engineer</v>
      </c>
      <c r="H52" t="str">
        <v>Kevin Ko</v>
      </c>
      <c r="I52" s="20">
        <v>46478</v>
      </c>
      <c r="J52" s="20">
        <v>46658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>
      <c r="A53">
        <v>14</v>
      </c>
      <c r="B53" t="str">
        <v>Active</v>
      </c>
      <c r="C53" t="str">
        <v>Active</v>
      </c>
      <c r="D53" t="str">
        <v>Tumalo Ph2</v>
      </c>
      <c r="E53" t="str">
        <v>NPI IS</v>
      </c>
      <c r="F53" t="str">
        <v>System 1</v>
      </c>
      <c r="G53" t="str">
        <v>System engineer</v>
      </c>
      <c r="H53" t="str">
        <v>Chloe Jeong</v>
      </c>
      <c r="I53" s="20">
        <v>46478</v>
      </c>
      <c r="J53" s="20">
        <v>46658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</row>
    <row r="54" spans="1:53">
      <c r="A54">
        <v>15</v>
      </c>
      <c r="B54" t="str">
        <v>Active</v>
      </c>
      <c r="C54" t="str">
        <v>Active</v>
      </c>
      <c r="D54" t="str">
        <v>Tumalo Ph2</v>
      </c>
      <c r="E54" t="str">
        <v>NPI IS</v>
      </c>
      <c r="F54" t="str">
        <v>System 1</v>
      </c>
      <c r="G54" t="str">
        <v>Technician</v>
      </c>
      <c r="H54" t="str">
        <v>Robin Park</v>
      </c>
      <c r="I54" s="20">
        <v>46478</v>
      </c>
      <c r="J54" s="20">
        <v>46658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>
      <c r="A55">
        <v>16</v>
      </c>
      <c r="B55" t="str">
        <v>Active</v>
      </c>
      <c r="C55" t="str">
        <v>Active</v>
      </c>
      <c r="D55" t="str">
        <v>Tumalo Ph2</v>
      </c>
      <c r="E55" t="str">
        <v>NPI IS</v>
      </c>
      <c r="F55" t="str">
        <v>Mechanical</v>
      </c>
      <c r="G55" t="str">
        <v>Leader</v>
      </c>
      <c r="H55" t="str">
        <v>Jeremy Park</v>
      </c>
      <c r="I55" s="20">
        <v>46478</v>
      </c>
      <c r="J55" s="20">
        <v>46658</v>
      </c>
      <c r="K55" s="16">
        <v>0</v>
      </c>
      <c r="L55" s="16">
        <v>0.2</v>
      </c>
      <c r="M55" s="16">
        <v>0.2</v>
      </c>
      <c r="N55" s="16">
        <v>0.2</v>
      </c>
      <c r="O55" s="16">
        <v>0.2</v>
      </c>
      <c r="P55" s="16">
        <v>0.2</v>
      </c>
      <c r="Q55" s="16">
        <v>0.3</v>
      </c>
      <c r="R55" s="16">
        <v>0.3</v>
      </c>
      <c r="S55" s="16">
        <v>0.3</v>
      </c>
      <c r="T55" s="16">
        <v>0.3</v>
      </c>
      <c r="U55" s="16">
        <v>0.3</v>
      </c>
      <c r="V55" s="16">
        <v>0.3</v>
      </c>
      <c r="W55" s="16">
        <v>0.3</v>
      </c>
      <c r="X55" s="16">
        <v>0.3</v>
      </c>
      <c r="Y55" s="16">
        <v>0.3</v>
      </c>
      <c r="Z55" s="16">
        <v>0.3</v>
      </c>
      <c r="AA55" s="16">
        <v>0.3</v>
      </c>
      <c r="AB55" s="16">
        <v>0.3</v>
      </c>
      <c r="AC55" s="16">
        <v>0.3</v>
      </c>
      <c r="AD55" s="16">
        <v>0.3</v>
      </c>
      <c r="AE55" s="16">
        <v>0.3</v>
      </c>
      <c r="AF55" s="16">
        <v>0.3</v>
      </c>
      <c r="AG55" s="16">
        <v>0.3</v>
      </c>
      <c r="AH55" s="16">
        <v>0.3</v>
      </c>
      <c r="AI55" s="16">
        <v>0.3</v>
      </c>
      <c r="AJ55" s="16">
        <v>0.3</v>
      </c>
      <c r="AK55" s="16">
        <v>0.3</v>
      </c>
      <c r="AL55" s="16">
        <v>0.3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>
      <c r="A56">
        <v>17</v>
      </c>
      <c r="B56" t="str">
        <v>Active</v>
      </c>
      <c r="C56" t="str">
        <v>Active</v>
      </c>
      <c r="D56" t="str">
        <v>Tumalo Ph2</v>
      </c>
      <c r="E56" t="str">
        <v>NPI IS</v>
      </c>
      <c r="F56" t="str">
        <v>Mechanical</v>
      </c>
      <c r="G56" t="str">
        <v>Mechanical engineer</v>
      </c>
      <c r="H56" t="str">
        <v>Allie Park</v>
      </c>
      <c r="I56" s="20">
        <v>46478</v>
      </c>
      <c r="J56" s="20">
        <v>46658</v>
      </c>
      <c r="K56" s="16">
        <v>0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1</v>
      </c>
      <c r="Y56" s="16">
        <v>1</v>
      </c>
      <c r="Z56" s="16">
        <v>1</v>
      </c>
      <c r="AA56" s="16">
        <v>1</v>
      </c>
      <c r="AB56" s="16">
        <v>1</v>
      </c>
      <c r="AC56" s="16">
        <v>1</v>
      </c>
      <c r="AD56" s="16">
        <v>1</v>
      </c>
      <c r="AE56" s="16">
        <v>1</v>
      </c>
      <c r="AF56" s="16">
        <v>1</v>
      </c>
      <c r="AG56" s="16">
        <v>1</v>
      </c>
      <c r="AH56" s="16">
        <v>1</v>
      </c>
      <c r="AI56" s="16">
        <v>1</v>
      </c>
      <c r="AJ56" s="16">
        <v>1</v>
      </c>
      <c r="AK56" s="16">
        <v>1</v>
      </c>
      <c r="AL56" s="16">
        <v>1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>
      <c r="A57">
        <v>18</v>
      </c>
      <c r="B57" t="str">
        <v>Active</v>
      </c>
      <c r="C57" t="str">
        <v>Active</v>
      </c>
      <c r="D57" t="str">
        <v>Tumalo Ph2</v>
      </c>
      <c r="E57" t="str">
        <v>NPI IS</v>
      </c>
      <c r="F57" t="str">
        <v>Mechanical</v>
      </c>
      <c r="G57" t="str">
        <v>Mechanical engineer</v>
      </c>
      <c r="H57" t="str">
        <v>Wayne Jo</v>
      </c>
      <c r="I57" s="20">
        <v>46478</v>
      </c>
      <c r="J57" s="20">
        <v>46658</v>
      </c>
      <c r="K57" s="16">
        <v>0</v>
      </c>
      <c r="L57" s="16">
        <v>0.5</v>
      </c>
      <c r="M57" s="16">
        <v>0.5</v>
      </c>
      <c r="N57" s="16">
        <v>0.5</v>
      </c>
      <c r="O57" s="16">
        <v>0.5</v>
      </c>
      <c r="P57" s="16">
        <v>0.5</v>
      </c>
      <c r="Q57" s="16">
        <v>0.5</v>
      </c>
      <c r="R57" s="16">
        <v>0.5</v>
      </c>
      <c r="S57" s="16">
        <v>0.5</v>
      </c>
      <c r="T57" s="16">
        <v>0.5</v>
      </c>
      <c r="U57" s="16">
        <v>0.5</v>
      </c>
      <c r="V57" s="16">
        <v>0.5</v>
      </c>
      <c r="W57" s="16">
        <v>0.5</v>
      </c>
      <c r="X57" s="16">
        <v>0.5</v>
      </c>
      <c r="Y57" s="16">
        <v>1</v>
      </c>
      <c r="Z57" s="16">
        <v>1</v>
      </c>
      <c r="AA57" s="16">
        <v>1</v>
      </c>
      <c r="AB57" s="16">
        <v>1</v>
      </c>
      <c r="AC57" s="16">
        <v>1</v>
      </c>
      <c r="AD57" s="16">
        <v>1</v>
      </c>
      <c r="AE57" s="16">
        <v>1</v>
      </c>
      <c r="AF57" s="16">
        <v>1</v>
      </c>
      <c r="AG57" s="16">
        <v>1</v>
      </c>
      <c r="AH57" s="16">
        <v>1</v>
      </c>
      <c r="AI57" s="16">
        <v>1</v>
      </c>
      <c r="AJ57" s="16">
        <v>1</v>
      </c>
      <c r="AK57" s="16">
        <v>1</v>
      </c>
      <c r="AL57" s="16">
        <v>1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>
      <c r="A58">
        <v>19</v>
      </c>
      <c r="B58" t="str">
        <v>Active</v>
      </c>
      <c r="C58" t="str">
        <v>Active</v>
      </c>
      <c r="D58" t="str">
        <v>Tumalo Ph2</v>
      </c>
      <c r="E58" t="str">
        <v>NPI IS</v>
      </c>
      <c r="F58" t="str">
        <v>Mechanical</v>
      </c>
      <c r="G58" t="str">
        <v>Mechanical engineer</v>
      </c>
      <c r="H58" t="str">
        <v>Jayce Park</v>
      </c>
      <c r="I58" s="20">
        <v>46478</v>
      </c>
      <c r="J58" s="20">
        <v>46658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1</v>
      </c>
      <c r="Y58" s="16">
        <v>1</v>
      </c>
      <c r="Z58" s="16">
        <v>1</v>
      </c>
      <c r="AA58" s="16">
        <v>1</v>
      </c>
      <c r="AB58" s="16">
        <v>1</v>
      </c>
      <c r="AC58" s="16">
        <v>1</v>
      </c>
      <c r="AD58" s="16">
        <v>1</v>
      </c>
      <c r="AE58" s="16">
        <v>1</v>
      </c>
      <c r="AF58" s="16">
        <v>1</v>
      </c>
      <c r="AG58" s="16">
        <v>1</v>
      </c>
      <c r="AH58" s="16">
        <v>1</v>
      </c>
      <c r="AI58" s="16">
        <v>1</v>
      </c>
      <c r="AJ58" s="16">
        <v>1</v>
      </c>
      <c r="AK58" s="16">
        <v>1</v>
      </c>
      <c r="AL58" s="16">
        <v>1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>
      <c r="A59">
        <v>20</v>
      </c>
      <c r="B59" t="str">
        <v>Active</v>
      </c>
      <c r="C59" t="str">
        <v>Active</v>
      </c>
      <c r="D59" t="str">
        <v>Tumalo Ph2</v>
      </c>
      <c r="E59" t="str">
        <v>NPI IS</v>
      </c>
      <c r="F59" t="str">
        <v>Mechanical</v>
      </c>
      <c r="G59" t="str">
        <v>Mechanical engineer</v>
      </c>
      <c r="H59" t="str">
        <v>Derek Cho</v>
      </c>
      <c r="I59" s="20">
        <v>46478</v>
      </c>
      <c r="J59" s="20">
        <v>46658</v>
      </c>
      <c r="K59" s="16">
        <v>0</v>
      </c>
      <c r="L59" s="16">
        <v>0</v>
      </c>
      <c r="M59" s="16">
        <v>0</v>
      </c>
      <c r="N59" s="16">
        <v>0</v>
      </c>
      <c r="O59" s="16">
        <v>0.5</v>
      </c>
      <c r="P59" s="16">
        <v>0.5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>
      <c r="A60">
        <v>21</v>
      </c>
      <c r="B60" t="str">
        <v>Active</v>
      </c>
      <c r="C60" t="str">
        <v>Active</v>
      </c>
      <c r="D60" t="str">
        <v>Tumalo Ph2</v>
      </c>
      <c r="E60" t="str">
        <v>Control Eng.</v>
      </c>
      <c r="F60" t="str">
        <v>* Manager</v>
      </c>
      <c r="G60" t="str">
        <v>* Manager</v>
      </c>
      <c r="H60" t="str">
        <v>Mogen Seo</v>
      </c>
      <c r="I60" s="20">
        <v>46478</v>
      </c>
      <c r="J60" s="20">
        <v>46658</v>
      </c>
      <c r="K60" s="16">
        <v>0</v>
      </c>
      <c r="L60" s="16">
        <v>0.1</v>
      </c>
      <c r="M60" s="16">
        <v>0.1</v>
      </c>
      <c r="N60" s="16">
        <v>0.1</v>
      </c>
      <c r="O60" s="16">
        <v>0.1</v>
      </c>
      <c r="P60" s="16">
        <v>0.1</v>
      </c>
      <c r="Q60" s="16">
        <v>0.1</v>
      </c>
      <c r="R60" s="16">
        <v>0.1</v>
      </c>
      <c r="S60" s="16">
        <v>0.1</v>
      </c>
      <c r="T60" s="16">
        <v>0.1</v>
      </c>
      <c r="U60" s="16">
        <v>0.1</v>
      </c>
      <c r="V60" s="16">
        <v>0.1</v>
      </c>
      <c r="W60" s="16">
        <v>0.1</v>
      </c>
      <c r="X60" s="16">
        <v>0.1</v>
      </c>
      <c r="Y60" s="16">
        <v>0.1</v>
      </c>
      <c r="Z60" s="16">
        <v>0.1</v>
      </c>
      <c r="AA60" s="16">
        <v>0.1</v>
      </c>
      <c r="AB60" s="16">
        <v>0.1</v>
      </c>
      <c r="AC60" s="16">
        <v>0.1</v>
      </c>
      <c r="AD60" s="16">
        <v>0.1</v>
      </c>
      <c r="AE60" s="16">
        <v>0.1</v>
      </c>
      <c r="AF60" s="16">
        <v>0.1</v>
      </c>
      <c r="AG60" s="16">
        <v>0.1</v>
      </c>
      <c r="AH60" s="16">
        <v>0.1</v>
      </c>
      <c r="AI60" s="16">
        <v>0.1</v>
      </c>
      <c r="AJ60" s="16">
        <v>0.1</v>
      </c>
      <c r="AK60" s="16">
        <v>0.1</v>
      </c>
      <c r="AL60" s="16">
        <v>0.1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>
      <c r="A61">
        <v>22</v>
      </c>
      <c r="B61" t="str">
        <v>Active</v>
      </c>
      <c r="C61" t="str">
        <v>Active</v>
      </c>
      <c r="D61" t="str">
        <v>Tumalo Ph2</v>
      </c>
      <c r="E61" t="str">
        <v>Control Eng.</v>
      </c>
      <c r="F61" t="str">
        <v>Software</v>
      </c>
      <c r="G61" t="str">
        <v>Leader</v>
      </c>
      <c r="H61" t="str">
        <v>Gerald Park</v>
      </c>
      <c r="I61" s="20">
        <v>46478</v>
      </c>
      <c r="J61" s="20">
        <v>46658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0.1</v>
      </c>
      <c r="S61" s="16">
        <v>0.1</v>
      </c>
      <c r="T61" s="16">
        <v>0.2</v>
      </c>
      <c r="U61" s="16">
        <v>0.2</v>
      </c>
      <c r="V61" s="16">
        <v>0.2</v>
      </c>
      <c r="W61" s="16">
        <v>0.2</v>
      </c>
      <c r="X61" s="16">
        <v>0.2</v>
      </c>
      <c r="Y61" s="16">
        <v>0.2</v>
      </c>
      <c r="Z61" s="16">
        <v>0.2</v>
      </c>
      <c r="AA61" s="16">
        <v>0.2</v>
      </c>
      <c r="AB61" s="16">
        <v>0.2</v>
      </c>
      <c r="AC61" s="16">
        <v>0.2</v>
      </c>
      <c r="AD61" s="16">
        <v>0.2</v>
      </c>
      <c r="AE61" s="16">
        <v>0.2</v>
      </c>
      <c r="AF61" s="16">
        <v>0.2</v>
      </c>
      <c r="AG61" s="16">
        <v>0.2</v>
      </c>
      <c r="AH61" s="16">
        <v>0.2</v>
      </c>
      <c r="AI61" s="16">
        <v>0.2</v>
      </c>
      <c r="AJ61" s="16">
        <v>0.2</v>
      </c>
      <c r="AK61" s="16">
        <v>0.2</v>
      </c>
      <c r="AL61" s="16">
        <v>0.2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>
      <c r="A62">
        <v>23</v>
      </c>
      <c r="B62" t="str">
        <v>Active</v>
      </c>
      <c r="C62" t="str">
        <v>Active</v>
      </c>
      <c r="D62" t="str">
        <v>Tumalo Ph2</v>
      </c>
      <c r="E62" t="str">
        <v>Control Eng.</v>
      </c>
      <c r="F62" t="str">
        <v>Software</v>
      </c>
      <c r="G62" t="str">
        <v>Software engineer</v>
      </c>
      <c r="H62" t="str">
        <v>Ethan Jung</v>
      </c>
      <c r="I62" s="20">
        <v>46478</v>
      </c>
      <c r="J62" s="20">
        <v>46658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>
        <v>1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16">
        <v>1</v>
      </c>
      <c r="AJ62" s="16">
        <v>1</v>
      </c>
      <c r="AK62" s="16">
        <v>1</v>
      </c>
      <c r="AL62" s="16">
        <v>1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>
      <c r="A63">
        <v>24</v>
      </c>
      <c r="B63" t="str">
        <v>Active</v>
      </c>
      <c r="C63" t="str">
        <v>Active</v>
      </c>
      <c r="D63" t="str">
        <v>Tumalo Ph2</v>
      </c>
      <c r="E63" t="str">
        <v>Control Eng.</v>
      </c>
      <c r="F63" t="str">
        <v>Software</v>
      </c>
      <c r="G63" t="str">
        <v>Software engineer</v>
      </c>
      <c r="H63" t="str">
        <v>Roy Choi</v>
      </c>
      <c r="I63" s="20">
        <v>46478</v>
      </c>
      <c r="J63" s="20">
        <v>46658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1</v>
      </c>
      <c r="AA63" s="16">
        <v>1</v>
      </c>
      <c r="AB63" s="16">
        <v>1</v>
      </c>
      <c r="AC63" s="16">
        <v>1</v>
      </c>
      <c r="AD63" s="16">
        <v>1</v>
      </c>
      <c r="AE63" s="16">
        <v>1</v>
      </c>
      <c r="AF63" s="16">
        <v>1</v>
      </c>
      <c r="AG63" s="16">
        <v>1</v>
      </c>
      <c r="AH63" s="16">
        <v>1</v>
      </c>
      <c r="AI63" s="16">
        <v>1</v>
      </c>
      <c r="AJ63" s="16">
        <v>1</v>
      </c>
      <c r="AK63" s="16">
        <v>1</v>
      </c>
      <c r="AL63" s="16">
        <v>1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</row>
    <row r="64" spans="1:53">
      <c r="A64">
        <v>25</v>
      </c>
      <c r="B64" t="str">
        <v>Active</v>
      </c>
      <c r="C64" t="str">
        <v>Active</v>
      </c>
      <c r="D64" t="str">
        <v>Tumalo Ph2</v>
      </c>
      <c r="E64" t="str">
        <v>Control Eng.</v>
      </c>
      <c r="F64" t="str">
        <v>Software</v>
      </c>
      <c r="G64" t="str">
        <v>SW test engineer</v>
      </c>
      <c r="H64" t="str">
        <v>Dave Kim</v>
      </c>
      <c r="I64" s="20">
        <v>46478</v>
      </c>
      <c r="J64" s="20">
        <v>46658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1</v>
      </c>
      <c r="Z64" s="16">
        <v>1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1</v>
      </c>
      <c r="AI64" s="16">
        <v>1</v>
      </c>
      <c r="AJ64" s="16">
        <v>1</v>
      </c>
      <c r="AK64" s="16">
        <v>1</v>
      </c>
      <c r="AL64" s="16">
        <v>1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>
      <c r="A65">
        <v>26</v>
      </c>
      <c r="B65" t="str">
        <v>Active</v>
      </c>
      <c r="C65" t="str">
        <v>Active</v>
      </c>
      <c r="D65" t="str">
        <v>Tumalo Ph2</v>
      </c>
      <c r="E65" t="str">
        <v>Control Eng.</v>
      </c>
      <c r="F65" t="str">
        <v>Software</v>
      </c>
      <c r="G65" t="str">
        <v>SW test engineer</v>
      </c>
      <c r="H65" t="str">
        <v>Moonsu Cho</v>
      </c>
      <c r="I65" s="20">
        <v>46478</v>
      </c>
      <c r="J65" s="20">
        <v>46658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0.5</v>
      </c>
      <c r="V65" s="16">
        <v>0.5</v>
      </c>
      <c r="W65" s="16">
        <v>0.5</v>
      </c>
      <c r="X65" s="16">
        <v>0.5</v>
      </c>
      <c r="Y65" s="16">
        <v>0.5</v>
      </c>
      <c r="Z65" s="16">
        <v>0.5</v>
      </c>
      <c r="AA65" s="16">
        <v>0.5</v>
      </c>
      <c r="AB65" s="16">
        <v>0.5</v>
      </c>
      <c r="AC65" s="16">
        <v>0.5</v>
      </c>
      <c r="AD65" s="16">
        <v>0.5</v>
      </c>
      <c r="AE65" s="16">
        <v>0.5</v>
      </c>
      <c r="AF65" s="16">
        <v>0.5</v>
      </c>
      <c r="AG65" s="16">
        <v>0.5</v>
      </c>
      <c r="AH65" s="16">
        <v>0.5</v>
      </c>
      <c r="AI65" s="16">
        <v>0.5</v>
      </c>
      <c r="AJ65" s="16">
        <v>0.5</v>
      </c>
      <c r="AK65" s="16">
        <v>0.5</v>
      </c>
      <c r="AL65" s="16">
        <v>0.5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>
      <c r="A66">
        <v>26</v>
      </c>
      <c r="B66" t="str">
        <v>Active</v>
      </c>
      <c r="C66" t="str">
        <v>Active</v>
      </c>
      <c r="D66" t="str">
        <v>Tumalo Ph2</v>
      </c>
      <c r="E66" t="str">
        <v>Control Eng.</v>
      </c>
      <c r="F66" t="str">
        <v>Software</v>
      </c>
      <c r="G66" t="str">
        <v>Software engineer</v>
      </c>
      <c r="H66" t="str">
        <v>Owen Rim</v>
      </c>
      <c r="I66" s="20">
        <v>46478</v>
      </c>
      <c r="J66" s="20">
        <v>46658</v>
      </c>
      <c r="K66" s="16">
        <v>0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6">
        <v>1</v>
      </c>
      <c r="S66" s="16">
        <v>1</v>
      </c>
      <c r="T66" s="16">
        <v>1</v>
      </c>
      <c r="U66" s="16">
        <v>1</v>
      </c>
      <c r="V66" s="16">
        <v>1</v>
      </c>
      <c r="W66" s="16">
        <v>1</v>
      </c>
      <c r="X66" s="16">
        <v>1</v>
      </c>
      <c r="Y66" s="16">
        <v>1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>
        <v>1</v>
      </c>
      <c r="AI66" s="16">
        <v>1</v>
      </c>
      <c r="AJ66" s="16">
        <v>1</v>
      </c>
      <c r="AK66" s="16">
        <v>1</v>
      </c>
      <c r="AL66" s="16">
        <v>1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>
      <c r="A67">
        <v>27</v>
      </c>
      <c r="B67" t="str">
        <v>Active</v>
      </c>
      <c r="C67" t="str">
        <v>Active</v>
      </c>
      <c r="D67" t="str">
        <v>Tumalo Ph2</v>
      </c>
      <c r="E67" t="str">
        <v>Control Eng.</v>
      </c>
      <c r="F67" t="str">
        <v>Electrical</v>
      </c>
      <c r="G67" t="str">
        <v>Leader</v>
      </c>
      <c r="H67" t="str">
        <v>Joshua Im</v>
      </c>
      <c r="I67" s="20">
        <v>46478</v>
      </c>
      <c r="J67" s="20">
        <v>46658</v>
      </c>
      <c r="K67" s="16">
        <v>0</v>
      </c>
      <c r="L67" s="16">
        <v>0.3</v>
      </c>
      <c r="M67" s="16">
        <v>0.3</v>
      </c>
      <c r="N67" s="16">
        <v>0.2</v>
      </c>
      <c r="O67" s="16">
        <v>0.2</v>
      </c>
      <c r="P67" s="16">
        <v>0.2</v>
      </c>
      <c r="Q67" s="16">
        <v>0.2</v>
      </c>
      <c r="R67" s="16">
        <v>0.2</v>
      </c>
      <c r="S67" s="16">
        <v>0.2</v>
      </c>
      <c r="T67" s="16">
        <v>0.2</v>
      </c>
      <c r="U67" s="16">
        <v>0.2</v>
      </c>
      <c r="V67" s="16">
        <v>0.2</v>
      </c>
      <c r="W67" s="16">
        <v>0.2</v>
      </c>
      <c r="X67" s="16">
        <v>0.2</v>
      </c>
      <c r="Y67" s="16">
        <v>0.2</v>
      </c>
      <c r="Z67" s="16">
        <v>0.2</v>
      </c>
      <c r="AA67" s="16">
        <v>0.2</v>
      </c>
      <c r="AB67" s="16">
        <v>0.2</v>
      </c>
      <c r="AC67" s="16">
        <v>0.2</v>
      </c>
      <c r="AD67" s="16">
        <v>0.2</v>
      </c>
      <c r="AE67" s="16">
        <v>0.2</v>
      </c>
      <c r="AF67" s="16">
        <v>0.2</v>
      </c>
      <c r="AG67" s="16">
        <v>0.1</v>
      </c>
      <c r="AH67" s="16">
        <v>0.1</v>
      </c>
      <c r="AI67" s="16">
        <v>0.1</v>
      </c>
      <c r="AJ67" s="16">
        <v>0.1</v>
      </c>
      <c r="AK67" s="16">
        <v>0.1</v>
      </c>
      <c r="AL67" s="16">
        <v>0.1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>
      <c r="A68">
        <v>28</v>
      </c>
      <c r="B68" t="str">
        <v>Active</v>
      </c>
      <c r="C68" t="str">
        <v>Active</v>
      </c>
      <c r="D68" t="str">
        <v>Tumalo Ph2</v>
      </c>
      <c r="E68" t="str">
        <v>Control Eng.</v>
      </c>
      <c r="F68" t="str">
        <v>Electrical</v>
      </c>
      <c r="G68" t="str">
        <v>Electrical engineer</v>
      </c>
      <c r="H68" t="str">
        <v>May Kwon</v>
      </c>
      <c r="I68" s="20">
        <v>46478</v>
      </c>
      <c r="J68" s="20">
        <v>46658</v>
      </c>
      <c r="K68" s="16">
        <v>0</v>
      </c>
      <c r="L68" s="16">
        <v>0</v>
      </c>
      <c r="M68" s="16">
        <v>0.5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1</v>
      </c>
      <c r="AG68" s="16">
        <v>1</v>
      </c>
      <c r="AH68" s="16">
        <v>1</v>
      </c>
      <c r="AI68" s="16">
        <v>1</v>
      </c>
      <c r="AJ68" s="16">
        <v>1</v>
      </c>
      <c r="AK68" s="16">
        <v>1</v>
      </c>
      <c r="AL68" s="16">
        <v>1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>
      <c r="A69">
        <v>29</v>
      </c>
      <c r="B69" t="str">
        <v>Active</v>
      </c>
      <c r="C69" t="str">
        <v>Active</v>
      </c>
      <c r="D69" t="str">
        <v>Tumalo Ph2</v>
      </c>
      <c r="E69" t="str">
        <v>Control Eng.</v>
      </c>
      <c r="F69" t="str">
        <v>Electrical</v>
      </c>
      <c r="G69" t="str">
        <v>Electrical engineer</v>
      </c>
      <c r="H69" t="str">
        <v>Julia Mun</v>
      </c>
      <c r="I69" s="20">
        <v>46478</v>
      </c>
      <c r="J69" s="20">
        <v>46658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>
      <c r="A70">
        <v>30</v>
      </c>
      <c r="B70" t="str">
        <v>Active</v>
      </c>
      <c r="C70" t="str">
        <v>Active</v>
      </c>
      <c r="D70" t="str">
        <v>Tumalo Ph2</v>
      </c>
      <c r="E70" t="str">
        <v>Control Eng.</v>
      </c>
      <c r="F70" t="str">
        <v>Electrical</v>
      </c>
      <c r="G70" t="str">
        <v>Electrical engineer</v>
      </c>
      <c r="H70" t="str">
        <v>Andy Jang</v>
      </c>
      <c r="I70" s="20">
        <v>46478</v>
      </c>
      <c r="J70" s="20">
        <v>46658</v>
      </c>
      <c r="K70" s="16">
        <v>0</v>
      </c>
      <c r="L70" s="16">
        <v>0</v>
      </c>
      <c r="M70" s="16">
        <v>0</v>
      </c>
      <c r="N70" s="16">
        <v>0.5</v>
      </c>
      <c r="O70" s="16">
        <v>0.5</v>
      </c>
      <c r="P70" s="16">
        <v>0.5</v>
      </c>
      <c r="Q70" s="16">
        <v>0.5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>
      <c r="A71">
        <v>31</v>
      </c>
      <c r="B71" t="str">
        <v>Active</v>
      </c>
      <c r="C71" t="str">
        <v>Active</v>
      </c>
      <c r="D71" t="str">
        <v>Tumalo Ph2</v>
      </c>
      <c r="E71">
        <v>0</v>
      </c>
      <c r="F71">
        <v>0</v>
      </c>
      <c r="G71">
        <v>0</v>
      </c>
      <c r="H71" t="str">
        <v>Gate Plan</v>
      </c>
      <c r="I71" s="20">
        <v>46478</v>
      </c>
      <c r="J71" s="20">
        <v>46658</v>
      </c>
      <c r="K71" s="16">
        <v>0</v>
      </c>
      <c r="L71" s="16" t="str">
        <v>G2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 t="str">
        <v>G3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 t="str">
        <v>G4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 t="str">
        <v>G5</v>
      </c>
      <c r="AH71" s="16">
        <v>0</v>
      </c>
      <c r="AI71" s="16">
        <v>0</v>
      </c>
      <c r="AJ71" s="16">
        <v>0</v>
      </c>
      <c r="AK71" s="16">
        <v>0</v>
      </c>
      <c r="AL71" s="16" t="str">
        <v>G6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>
      <c r="A72">
        <v>1</v>
      </c>
      <c r="B72" t="str">
        <v>Active</v>
      </c>
      <c r="C72" t="str">
        <v>ETO</v>
      </c>
      <c r="D72" t="str">
        <v>Gen3 EUV Zenith Plus 7SRC TSMC</v>
      </c>
      <c r="E72" t="str">
        <v>PMO</v>
      </c>
      <c r="F72" t="str">
        <v>* Manager</v>
      </c>
      <c r="G72" t="str">
        <v>* Manager</v>
      </c>
      <c r="H72" t="str">
        <v>Jinney Lee</v>
      </c>
      <c r="I72" s="20">
        <v>0</v>
      </c>
      <c r="J72" s="20">
        <v>0</v>
      </c>
      <c r="K72" s="16">
        <v>0</v>
      </c>
      <c r="L72" s="16">
        <v>0</v>
      </c>
      <c r="M72" s="16">
        <v>0.2</v>
      </c>
      <c r="N72" s="16">
        <v>0.2</v>
      </c>
      <c r="O72" s="16">
        <v>0.2</v>
      </c>
      <c r="P72" s="16">
        <v>0.2</v>
      </c>
      <c r="Q72" s="16">
        <v>0.2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>
      <c r="A73">
        <v>2</v>
      </c>
      <c r="B73" t="str">
        <v>Active</v>
      </c>
      <c r="C73" t="str">
        <v>ETO</v>
      </c>
      <c r="D73" t="str">
        <v>Gen3 EUV Zenith Plus 7SRC TSMC</v>
      </c>
      <c r="E73" t="str">
        <v>NPI IS</v>
      </c>
      <c r="F73" t="str">
        <v>System 2</v>
      </c>
      <c r="G73" t="str">
        <v>Tech Lead</v>
      </c>
      <c r="H73" t="str">
        <v>Chad Seo</v>
      </c>
      <c r="I73" s="20">
        <v>0</v>
      </c>
      <c r="J73" s="20">
        <v>0</v>
      </c>
      <c r="K73" s="16">
        <v>0</v>
      </c>
      <c r="L73" s="16">
        <v>0</v>
      </c>
      <c r="M73" s="16">
        <v>0</v>
      </c>
      <c r="N73" s="16">
        <v>1</v>
      </c>
      <c r="O73" s="16">
        <v>1</v>
      </c>
      <c r="P73" s="16">
        <v>1</v>
      </c>
      <c r="Q73" s="16">
        <v>0.5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>
      <c r="A74">
        <v>3</v>
      </c>
      <c r="B74" t="str">
        <v>Active</v>
      </c>
      <c r="C74" t="str">
        <v>ETO</v>
      </c>
      <c r="D74" t="str">
        <v>Gen3 EUV Zenith Plus 7SRC TSMC</v>
      </c>
      <c r="E74" t="str">
        <v>NPI IS</v>
      </c>
      <c r="F74" t="str">
        <v>* Manager</v>
      </c>
      <c r="G74" t="str">
        <v>* Manager</v>
      </c>
      <c r="H74" t="str">
        <v>Dorothy Noh</v>
      </c>
      <c r="I74" s="20">
        <v>0</v>
      </c>
      <c r="J74" s="20">
        <v>0</v>
      </c>
      <c r="K74" s="16">
        <v>0</v>
      </c>
      <c r="L74" s="16">
        <v>0</v>
      </c>
      <c r="M74" s="16">
        <v>0</v>
      </c>
      <c r="N74" s="16">
        <v>0.1</v>
      </c>
      <c r="O74" s="16">
        <v>0.1</v>
      </c>
      <c r="P74" s="16">
        <v>0.1</v>
      </c>
      <c r="Q74" s="16">
        <v>0.1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>
      <c r="A75">
        <v>5</v>
      </c>
      <c r="B75" t="str">
        <v>Active</v>
      </c>
      <c r="C75" t="str">
        <v>ETO</v>
      </c>
      <c r="D75" t="str">
        <v>Gen3 EUV Zenith Plus 7SRC TSMC</v>
      </c>
      <c r="E75" t="str">
        <v>NPI IS</v>
      </c>
      <c r="F75" t="str">
        <v>System 2</v>
      </c>
      <c r="G75" t="str">
        <v>System engineer</v>
      </c>
      <c r="H75" t="str">
        <v>Kevin Ko</v>
      </c>
      <c r="I75" s="20">
        <v>0</v>
      </c>
      <c r="J75" s="20">
        <v>0</v>
      </c>
      <c r="K75" s="16">
        <v>0</v>
      </c>
      <c r="L75" s="16">
        <v>0</v>
      </c>
      <c r="M75" s="16">
        <v>0</v>
      </c>
      <c r="N75" s="16">
        <v>1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>
      <c r="A76">
        <v>6</v>
      </c>
      <c r="B76" t="str">
        <v>Active</v>
      </c>
      <c r="C76" t="str">
        <v>ETO</v>
      </c>
      <c r="D76" t="str">
        <v>Gen3 EUV Zenith Plus 7SRC TSMC</v>
      </c>
      <c r="E76" t="str">
        <v>NPI IS</v>
      </c>
      <c r="F76" t="str">
        <v>System 2</v>
      </c>
      <c r="G76" t="str">
        <v>Service engineer</v>
      </c>
      <c r="H76" t="str">
        <v>Sophie Kim</v>
      </c>
      <c r="I76" s="20">
        <v>0</v>
      </c>
      <c r="J76" s="20">
        <v>0</v>
      </c>
      <c r="K76" s="16">
        <v>0</v>
      </c>
      <c r="L76" s="16">
        <v>0</v>
      </c>
      <c r="M76" s="16">
        <v>0</v>
      </c>
      <c r="N76" s="16">
        <v>0.7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>
      <c r="A77">
        <v>7</v>
      </c>
      <c r="B77" t="str">
        <v>Active</v>
      </c>
      <c r="C77" t="str">
        <v>ETO</v>
      </c>
      <c r="D77" t="str">
        <v>Gen3 EUV Zenith Plus 7SRC TSMC</v>
      </c>
      <c r="E77" t="str">
        <v>NPI IS</v>
      </c>
      <c r="F77" t="str">
        <v>System 2</v>
      </c>
      <c r="G77" t="str">
        <v>System engineer</v>
      </c>
      <c r="H77" t="str">
        <v>Jess Kim</v>
      </c>
      <c r="I77" s="20">
        <v>0</v>
      </c>
      <c r="J77" s="20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0.5</v>
      </c>
      <c r="P77" s="16">
        <v>0.5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>
      <c r="A78">
        <v>8</v>
      </c>
      <c r="B78" t="str">
        <v>Active</v>
      </c>
      <c r="C78" t="str">
        <v>ETO</v>
      </c>
      <c r="D78" t="str">
        <v>Gen3 EUV Zenith Plus 7SRC TSMC</v>
      </c>
      <c r="E78" t="str">
        <v>NPI IS</v>
      </c>
      <c r="F78" t="str">
        <v>Mechanical</v>
      </c>
      <c r="G78" t="str">
        <v>Leader</v>
      </c>
      <c r="H78" t="str">
        <v>Jeremy Park</v>
      </c>
      <c r="I78" s="20">
        <v>0</v>
      </c>
      <c r="J78" s="20">
        <v>0</v>
      </c>
      <c r="K78" s="16">
        <v>0</v>
      </c>
      <c r="L78" s="16">
        <v>0</v>
      </c>
      <c r="M78" s="16">
        <v>0</v>
      </c>
      <c r="N78" s="16">
        <v>0.1</v>
      </c>
      <c r="O78" s="16">
        <v>0.1</v>
      </c>
      <c r="P78" s="16">
        <v>0.1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>
      <c r="A79">
        <v>9</v>
      </c>
      <c r="B79" t="str">
        <v>Active</v>
      </c>
      <c r="C79" t="str">
        <v>ETO</v>
      </c>
      <c r="D79" t="str">
        <v>Gen3 EUV Zenith Plus 7SRC TSMC</v>
      </c>
      <c r="E79" t="str">
        <v>NPI IS</v>
      </c>
      <c r="F79" t="str">
        <v>Mechanical</v>
      </c>
      <c r="G79" t="str">
        <v>Mechanical engineer</v>
      </c>
      <c r="H79" t="str">
        <v>Jayden Lee</v>
      </c>
      <c r="I79" s="20">
        <v>0</v>
      </c>
      <c r="J79" s="20">
        <v>0</v>
      </c>
      <c r="K79" s="16">
        <v>0</v>
      </c>
      <c r="L79" s="16">
        <v>0</v>
      </c>
      <c r="M79" s="16">
        <v>0</v>
      </c>
      <c r="N79" s="16">
        <v>0.5</v>
      </c>
      <c r="O79" s="16">
        <v>0.5</v>
      </c>
      <c r="P79" s="16">
        <v>0.5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>
      <c r="A80">
        <v>10</v>
      </c>
      <c r="B80" t="str">
        <v>Active</v>
      </c>
      <c r="C80" t="str">
        <v>ETO</v>
      </c>
      <c r="D80" t="str">
        <v>Gen3 EUV Zenith Plus 7SRC TSMC</v>
      </c>
      <c r="E80" t="str">
        <v>NPI IS</v>
      </c>
      <c r="F80" t="str">
        <v>Mechanical</v>
      </c>
      <c r="G80" t="str">
        <v>Mechanical engineer</v>
      </c>
      <c r="H80" t="str">
        <v>Derek Cho</v>
      </c>
      <c r="I80" s="20">
        <v>0</v>
      </c>
      <c r="J80" s="20">
        <v>0</v>
      </c>
      <c r="K80" s="16">
        <v>0</v>
      </c>
      <c r="L80" s="16">
        <v>0</v>
      </c>
      <c r="M80" s="16">
        <v>0</v>
      </c>
      <c r="N80" s="16">
        <v>0.5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>
      <c r="A81">
        <v>11</v>
      </c>
      <c r="B81" t="str">
        <v>Active</v>
      </c>
      <c r="C81" t="str">
        <v>ETO</v>
      </c>
      <c r="D81" t="str">
        <v>Gen3 EUV Zenith Plus 7SRC TSMC</v>
      </c>
      <c r="E81" t="str">
        <v>Control Eng.</v>
      </c>
      <c r="F81" t="str">
        <v>* Manager</v>
      </c>
      <c r="G81" t="str">
        <v>* Manager</v>
      </c>
      <c r="H81" t="str">
        <v>Mogen Seo</v>
      </c>
      <c r="I81" s="20">
        <v>0</v>
      </c>
      <c r="J81" s="20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>
      <c r="A82">
        <v>12</v>
      </c>
      <c r="B82" t="str">
        <v>Active</v>
      </c>
      <c r="C82" t="str">
        <v>ETO</v>
      </c>
      <c r="D82" t="str">
        <v>Gen3 EUV Zenith Plus 7SRC TSMC</v>
      </c>
      <c r="E82" t="str">
        <v>Control Eng.</v>
      </c>
      <c r="F82" t="str">
        <v>Software</v>
      </c>
      <c r="G82" t="str">
        <v>Leader</v>
      </c>
      <c r="H82" t="str">
        <v>Gerald Park</v>
      </c>
      <c r="I82" s="20">
        <v>0</v>
      </c>
      <c r="J82" s="20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>
      <c r="A83">
        <v>13</v>
      </c>
      <c r="B83" t="str">
        <v>Active</v>
      </c>
      <c r="C83" t="str">
        <v>ETO</v>
      </c>
      <c r="D83" t="str">
        <v>Gen3 EUV Zenith Plus 7SRC TSMC</v>
      </c>
      <c r="E83" t="str">
        <v>Control Eng.</v>
      </c>
      <c r="F83" t="str">
        <v>Software</v>
      </c>
      <c r="G83" t="str">
        <v>Software engineer</v>
      </c>
      <c r="H83" t="str">
        <v>Ashley Yun</v>
      </c>
      <c r="I83" s="20">
        <v>0</v>
      </c>
      <c r="J83" s="20">
        <v>0</v>
      </c>
      <c r="K83" s="16">
        <v>0</v>
      </c>
      <c r="L83" s="16">
        <v>0</v>
      </c>
      <c r="M83" s="16">
        <v>0</v>
      </c>
      <c r="N83" s="16">
        <v>0.5</v>
      </c>
      <c r="O83" s="16">
        <v>0.5</v>
      </c>
      <c r="P83" s="16">
        <v>0.5</v>
      </c>
      <c r="Q83" s="16">
        <v>0.5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>
      <c r="A84">
        <v>14</v>
      </c>
      <c r="B84" t="str">
        <v>Active</v>
      </c>
      <c r="C84" t="str">
        <v>ETO</v>
      </c>
      <c r="D84" t="str">
        <v>Gen3 EUV Zenith Plus 7SRC TSMC</v>
      </c>
      <c r="E84" t="str">
        <v>Control Eng.</v>
      </c>
      <c r="F84" t="str">
        <v>Software</v>
      </c>
      <c r="G84" t="str">
        <v>SW test engineer</v>
      </c>
      <c r="H84" t="str">
        <v>Moonsu Cho</v>
      </c>
      <c r="I84" s="20">
        <v>0</v>
      </c>
      <c r="J84" s="20">
        <v>0</v>
      </c>
      <c r="K84" s="16">
        <v>0</v>
      </c>
      <c r="L84" s="16">
        <v>0</v>
      </c>
      <c r="M84" s="16">
        <v>0</v>
      </c>
      <c r="N84" s="16">
        <v>0.5</v>
      </c>
      <c r="O84" s="16">
        <v>0.5</v>
      </c>
      <c r="P84" s="16">
        <v>0.5</v>
      </c>
      <c r="Q84" s="16">
        <v>0.5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</row>
    <row r="85" spans="1:53">
      <c r="A85">
        <v>15</v>
      </c>
      <c r="B85" t="str">
        <v>Active</v>
      </c>
      <c r="C85" t="str">
        <v>ETO</v>
      </c>
      <c r="D85" t="str">
        <v>Gen3 EUV Zenith Plus 7SRC TSMC</v>
      </c>
      <c r="E85" t="str">
        <v>Control Eng.</v>
      </c>
      <c r="F85" t="str">
        <v>Electrical</v>
      </c>
      <c r="G85" t="str">
        <v>Leader</v>
      </c>
      <c r="H85" t="str">
        <v>Joshua Im</v>
      </c>
      <c r="I85" s="20">
        <v>0</v>
      </c>
      <c r="J85" s="20">
        <v>0</v>
      </c>
      <c r="K85" s="16">
        <v>0</v>
      </c>
      <c r="L85" s="16">
        <v>0</v>
      </c>
      <c r="M85" s="16">
        <v>0</v>
      </c>
      <c r="N85" s="16">
        <v>0.3</v>
      </c>
      <c r="O85" s="16">
        <v>0.3</v>
      </c>
      <c r="P85" s="16">
        <v>0.3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>
      <c r="A86">
        <v>16</v>
      </c>
      <c r="B86" t="str">
        <v>Active</v>
      </c>
      <c r="C86" t="str">
        <v>ETO</v>
      </c>
      <c r="D86" t="str">
        <v>Gen3 EUV Zenith Plus 7SRC TSMC</v>
      </c>
      <c r="E86" t="str">
        <v>Control Eng.</v>
      </c>
      <c r="F86" t="str">
        <v>Electrical</v>
      </c>
      <c r="G86" t="str">
        <v>Electrical engineer</v>
      </c>
      <c r="H86" t="str">
        <v>Dean Choi</v>
      </c>
      <c r="I86" s="20">
        <v>0</v>
      </c>
      <c r="J86" s="20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0.5</v>
      </c>
      <c r="P86" s="16">
        <v>0.5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  <row r="87" spans="1:53">
      <c r="A87">
        <v>17</v>
      </c>
      <c r="B87" t="str">
        <v>Active</v>
      </c>
      <c r="C87" t="str">
        <v>ETO</v>
      </c>
      <c r="D87" t="str">
        <v>Gen3 EUV Zenith Plus 7SRC TSMC</v>
      </c>
      <c r="E87" t="str">
        <v>NPI IS</v>
      </c>
      <c r="F87" t="str">
        <v>System 3</v>
      </c>
      <c r="G87" t="str">
        <v>System engineer</v>
      </c>
      <c r="H87" t="str">
        <v>Tred Park</v>
      </c>
      <c r="I87" s="20">
        <v>0</v>
      </c>
      <c r="J87" s="20">
        <v>0</v>
      </c>
      <c r="K87" s="16">
        <v>0</v>
      </c>
      <c r="L87" s="16">
        <v>0</v>
      </c>
      <c r="M87" s="16">
        <v>0</v>
      </c>
      <c r="N87" s="16">
        <v>0</v>
      </c>
      <c r="O87" s="16">
        <v>1</v>
      </c>
      <c r="P87" s="16">
        <v>1</v>
      </c>
      <c r="Q87" s="16">
        <v>1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</row>
    <row r="88" spans="1:53">
      <c r="A88">
        <v>18</v>
      </c>
      <c r="B88" t="str">
        <v>Active</v>
      </c>
      <c r="C88" t="str">
        <v>ETO</v>
      </c>
      <c r="D88" t="str">
        <v>Gen3 EUV Zenith Plus 7SRC TSMC</v>
      </c>
      <c r="E88">
        <v>0</v>
      </c>
      <c r="F88">
        <v>0</v>
      </c>
      <c r="G88">
        <v>0</v>
      </c>
      <c r="H88" t="str">
        <v>Gate Plan</v>
      </c>
      <c r="I88" s="20">
        <v>0</v>
      </c>
      <c r="J88" s="20">
        <v>0</v>
      </c>
      <c r="K88" s="16">
        <v>0</v>
      </c>
      <c r="L88" s="16">
        <v>0</v>
      </c>
      <c r="M88" s="16" t="str">
        <v>G2</v>
      </c>
      <c r="N88" s="16">
        <v>0</v>
      </c>
      <c r="O88" s="16">
        <v>0</v>
      </c>
      <c r="P88" s="16">
        <v>0</v>
      </c>
      <c r="Q88" s="16" t="str">
        <v>G5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</row>
    <row r="89" spans="1:53">
      <c r="A89">
        <v>1</v>
      </c>
      <c r="B89" t="str">
        <v>Active</v>
      </c>
      <c r="C89" t="str">
        <v>Active</v>
      </c>
      <c r="D89" t="str">
        <v>Havasu</v>
      </c>
      <c r="E89" t="str">
        <v>Engineering</v>
      </c>
      <c r="F89" t="str">
        <v>* Manager</v>
      </c>
      <c r="G89" t="str">
        <v>* Eng Manager</v>
      </c>
      <c r="H89" t="str">
        <v>Jiyoung Son</v>
      </c>
      <c r="I89" s="20">
        <v>45833</v>
      </c>
      <c r="J89" s="20">
        <v>46013</v>
      </c>
      <c r="K89" s="16">
        <v>0.2</v>
      </c>
      <c r="L89" s="16">
        <v>0.1</v>
      </c>
      <c r="M89" s="16">
        <v>0.1</v>
      </c>
      <c r="N89" s="16">
        <v>0.1</v>
      </c>
      <c r="O89" s="16">
        <v>0.1</v>
      </c>
      <c r="P89" s="16">
        <v>0.1</v>
      </c>
      <c r="Q89" s="16">
        <v>0.1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</row>
    <row r="90" spans="1:53">
      <c r="A90">
        <v>2</v>
      </c>
      <c r="B90" t="str">
        <v>Active</v>
      </c>
      <c r="C90" t="str">
        <v>Active</v>
      </c>
      <c r="D90" t="str">
        <v>Havasu</v>
      </c>
      <c r="E90" t="str">
        <v>PMO</v>
      </c>
      <c r="F90" t="str">
        <v>* Manager</v>
      </c>
      <c r="G90" t="str">
        <v>* Manager</v>
      </c>
      <c r="H90" t="str">
        <v>Jinney Lee</v>
      </c>
      <c r="I90" s="20">
        <v>45833</v>
      </c>
      <c r="J90" s="20">
        <v>46013</v>
      </c>
      <c r="K90" s="16">
        <v>0.3</v>
      </c>
      <c r="L90" s="16">
        <v>0.1</v>
      </c>
      <c r="M90" s="16">
        <v>0.1</v>
      </c>
      <c r="N90" s="16">
        <v>0.1</v>
      </c>
      <c r="O90" s="16">
        <v>0.1</v>
      </c>
      <c r="P90" s="16">
        <v>0.1</v>
      </c>
      <c r="Q90" s="16">
        <v>0.1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</row>
    <row r="91" spans="1:53">
      <c r="A91">
        <v>3</v>
      </c>
      <c r="B91" t="str">
        <v>Active</v>
      </c>
      <c r="C91" t="str">
        <v>Active</v>
      </c>
      <c r="D91" t="str">
        <v>Havasu</v>
      </c>
      <c r="E91" t="str">
        <v>PMO</v>
      </c>
      <c r="F91" t="str">
        <v>PM</v>
      </c>
      <c r="G91" t="str">
        <v>PM</v>
      </c>
      <c r="H91" t="str">
        <v>Evan Lee</v>
      </c>
      <c r="I91" s="20">
        <v>45833</v>
      </c>
      <c r="J91" s="20">
        <v>46013</v>
      </c>
      <c r="K91" s="16">
        <v>1</v>
      </c>
      <c r="L91" s="16">
        <v>1</v>
      </c>
      <c r="M91" s="16">
        <v>0.5</v>
      </c>
      <c r="N91" s="16">
        <v>0.2</v>
      </c>
      <c r="O91" s="16">
        <v>0.2</v>
      </c>
      <c r="P91" s="16">
        <v>0.2</v>
      </c>
      <c r="Q91" s="16">
        <v>0.1</v>
      </c>
      <c r="R91" s="16">
        <v>0.2</v>
      </c>
      <c r="S91" s="16">
        <v>0.1</v>
      </c>
      <c r="T91" s="16">
        <v>0.1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</row>
    <row r="92" spans="1:53">
      <c r="A92">
        <v>4</v>
      </c>
      <c r="B92" t="str">
        <v>Active</v>
      </c>
      <c r="C92" t="str">
        <v>Active</v>
      </c>
      <c r="D92" t="str">
        <v>Havasu</v>
      </c>
      <c r="E92" t="str">
        <v>NPI IS</v>
      </c>
      <c r="F92" t="str">
        <v>* Manager</v>
      </c>
      <c r="G92" t="str">
        <v>* Manager</v>
      </c>
      <c r="H92" t="str">
        <v>Dorothy Noh</v>
      </c>
      <c r="I92" s="20">
        <v>45833</v>
      </c>
      <c r="J92" s="20">
        <v>46013</v>
      </c>
      <c r="K92" s="16">
        <v>0.3</v>
      </c>
      <c r="L92" s="16">
        <v>0.1</v>
      </c>
      <c r="M92" s="16">
        <v>0.1</v>
      </c>
      <c r="N92" s="16">
        <v>0.1</v>
      </c>
      <c r="O92" s="16">
        <v>0.1</v>
      </c>
      <c r="P92" s="16">
        <v>0.1</v>
      </c>
      <c r="Q92" s="16">
        <v>0.1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</row>
    <row r="93" spans="1:53">
      <c r="A93">
        <v>5</v>
      </c>
      <c r="B93" t="str">
        <v>Active</v>
      </c>
      <c r="C93" t="str">
        <v>Active</v>
      </c>
      <c r="D93" t="str">
        <v>Havasu</v>
      </c>
      <c r="E93" t="str">
        <v>NPI IS</v>
      </c>
      <c r="F93" t="str">
        <v>System 1</v>
      </c>
      <c r="G93" t="str">
        <v>Tech Lead</v>
      </c>
      <c r="H93" t="str">
        <v>Michael Kim</v>
      </c>
      <c r="I93" s="20">
        <v>45833</v>
      </c>
      <c r="J93" s="20">
        <v>46013</v>
      </c>
      <c r="K93" s="16">
        <v>1</v>
      </c>
      <c r="L93" s="16">
        <v>1</v>
      </c>
      <c r="M93" s="16">
        <v>1</v>
      </c>
      <c r="N93" s="16">
        <v>0.5</v>
      </c>
      <c r="O93" s="16">
        <v>0.5</v>
      </c>
      <c r="P93" s="16">
        <v>0.7</v>
      </c>
      <c r="Q93" s="16">
        <v>1</v>
      </c>
      <c r="R93" s="16">
        <v>0.5</v>
      </c>
      <c r="S93" s="16">
        <v>0.2</v>
      </c>
      <c r="T93" s="16">
        <v>0.2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</row>
    <row r="94" spans="1:53">
      <c r="A94">
        <v>6</v>
      </c>
      <c r="B94" t="str">
        <v>Active</v>
      </c>
      <c r="C94" t="str">
        <v>Active</v>
      </c>
      <c r="D94" t="str">
        <v>Havasu</v>
      </c>
      <c r="E94" t="str">
        <v>NPI IS</v>
      </c>
      <c r="F94" t="str">
        <v>System 1</v>
      </c>
      <c r="G94" t="str">
        <v>System engineer</v>
      </c>
      <c r="H94" t="str">
        <v>Ricky Kim</v>
      </c>
      <c r="I94" s="20">
        <v>45833</v>
      </c>
      <c r="J94" s="20">
        <v>46013</v>
      </c>
      <c r="K94" s="16">
        <v>1</v>
      </c>
      <c r="L94" s="16">
        <v>1</v>
      </c>
      <c r="M94" s="16">
        <v>0.5</v>
      </c>
      <c r="N94" s="16">
        <v>0.5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</row>
    <row r="95" spans="1:53">
      <c r="A95">
        <v>7</v>
      </c>
      <c r="B95" t="str">
        <v>Active</v>
      </c>
      <c r="C95" t="str">
        <v>Active</v>
      </c>
      <c r="D95" t="str">
        <v>Havasu</v>
      </c>
      <c r="E95" t="str">
        <v>NPI IS</v>
      </c>
      <c r="F95" t="str">
        <v>System 1</v>
      </c>
      <c r="G95" t="str">
        <v>System engineer</v>
      </c>
      <c r="H95" t="str">
        <v>Anders You</v>
      </c>
      <c r="I95" s="20">
        <v>45833</v>
      </c>
      <c r="J95" s="20">
        <v>46013</v>
      </c>
      <c r="K95" s="16">
        <v>1</v>
      </c>
      <c r="L95" s="16">
        <v>1</v>
      </c>
      <c r="M95" s="16">
        <v>1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</row>
    <row r="96" spans="1:53">
      <c r="A96">
        <v>8</v>
      </c>
      <c r="B96" t="str">
        <v>Active</v>
      </c>
      <c r="C96" t="str">
        <v>Active</v>
      </c>
      <c r="D96" t="str">
        <v>Havasu</v>
      </c>
      <c r="E96" t="str">
        <v>NPI IS</v>
      </c>
      <c r="F96" t="str">
        <v>System 1</v>
      </c>
      <c r="G96" t="str">
        <v>System engineer</v>
      </c>
      <c r="H96" t="str">
        <v>Chloe Jeong</v>
      </c>
      <c r="I96" s="20">
        <v>45833</v>
      </c>
      <c r="J96" s="20">
        <v>46013</v>
      </c>
      <c r="K96" s="16">
        <v>1</v>
      </c>
      <c r="L96" s="16">
        <v>1</v>
      </c>
      <c r="M96" s="16">
        <v>0.5</v>
      </c>
      <c r="N96" s="16">
        <v>0.5</v>
      </c>
      <c r="O96" s="16">
        <v>0.5</v>
      </c>
      <c r="P96" s="16">
        <v>1</v>
      </c>
      <c r="Q96" s="16">
        <v>1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</row>
    <row r="97" spans="1:53">
      <c r="A97">
        <v>9</v>
      </c>
      <c r="B97" t="str">
        <v>Active</v>
      </c>
      <c r="C97" t="str">
        <v>Active</v>
      </c>
      <c r="D97" t="str">
        <v>Havasu</v>
      </c>
      <c r="E97" t="str">
        <v>NPI IS</v>
      </c>
      <c r="F97" t="str">
        <v>System 1</v>
      </c>
      <c r="G97" t="str">
        <v>Service engineer</v>
      </c>
      <c r="H97" t="str">
        <v>Judy Lee</v>
      </c>
      <c r="I97" s="20">
        <v>45833</v>
      </c>
      <c r="J97" s="20">
        <v>46013</v>
      </c>
      <c r="K97" s="16">
        <v>1</v>
      </c>
      <c r="L97" s="16">
        <v>1</v>
      </c>
      <c r="M97" s="16">
        <v>1</v>
      </c>
      <c r="N97" s="16">
        <v>0.5</v>
      </c>
      <c r="O97" s="16">
        <v>0.5</v>
      </c>
      <c r="P97" s="16">
        <v>0.7</v>
      </c>
      <c r="Q97" s="16">
        <v>1</v>
      </c>
      <c r="R97" s="16">
        <v>0.5</v>
      </c>
      <c r="S97" s="16">
        <v>0.2</v>
      </c>
      <c r="T97" s="16">
        <v>0.2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</row>
    <row r="98" spans="1:53">
      <c r="A98">
        <v>10</v>
      </c>
      <c r="B98" t="str">
        <v>Active</v>
      </c>
      <c r="C98" t="str">
        <v>Active</v>
      </c>
      <c r="D98" t="str">
        <v>Havasu</v>
      </c>
      <c r="E98" t="str">
        <v>NPI IS</v>
      </c>
      <c r="F98" t="str">
        <v>Mechanical</v>
      </c>
      <c r="G98" t="str">
        <v>Leader</v>
      </c>
      <c r="H98" t="str">
        <v>Jeremy Park</v>
      </c>
      <c r="I98" s="20">
        <v>45833</v>
      </c>
      <c r="J98" s="20">
        <v>46013</v>
      </c>
      <c r="K98" s="16">
        <v>0.3</v>
      </c>
      <c r="L98" s="16">
        <v>0.1</v>
      </c>
      <c r="M98" s="16">
        <v>0.1</v>
      </c>
      <c r="N98" s="16">
        <v>0.1</v>
      </c>
      <c r="O98" s="16">
        <v>0.1</v>
      </c>
      <c r="P98" s="16">
        <v>0.1</v>
      </c>
      <c r="Q98" s="16">
        <v>0.1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</row>
    <row r="99" spans="1:53">
      <c r="A99">
        <v>11</v>
      </c>
      <c r="B99" t="str">
        <v>Active</v>
      </c>
      <c r="C99" t="str">
        <v>Active</v>
      </c>
      <c r="D99" t="str">
        <v>Havasu</v>
      </c>
      <c r="E99" t="str">
        <v>NPI IS</v>
      </c>
      <c r="F99" t="str">
        <v>Mechanical</v>
      </c>
      <c r="G99" t="str">
        <v>Mechanical engineer</v>
      </c>
      <c r="H99" t="str">
        <v>Sooyoung Song</v>
      </c>
      <c r="I99" s="20">
        <v>45833</v>
      </c>
      <c r="J99" s="20">
        <v>46013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</row>
    <row r="100" spans="1:53">
      <c r="A100">
        <v>13</v>
      </c>
      <c r="B100" t="str">
        <v>Active</v>
      </c>
      <c r="C100" t="str">
        <v>Active</v>
      </c>
      <c r="D100" t="str">
        <v>Havasu</v>
      </c>
      <c r="E100" t="str">
        <v>Control Eng.</v>
      </c>
      <c r="F100" t="str">
        <v>* Manager</v>
      </c>
      <c r="G100" t="str">
        <v>* Manager</v>
      </c>
      <c r="H100" t="str">
        <v>Mogen Seo</v>
      </c>
      <c r="I100" s="20">
        <v>45833</v>
      </c>
      <c r="J100" s="20">
        <v>46013</v>
      </c>
      <c r="K100" s="16">
        <v>0.2</v>
      </c>
      <c r="L100" s="16">
        <v>0.1</v>
      </c>
      <c r="M100" s="16">
        <v>0.1</v>
      </c>
      <c r="N100" s="16">
        <v>0.1</v>
      </c>
      <c r="O100" s="16">
        <v>0.1</v>
      </c>
      <c r="P100" s="16">
        <v>0.1</v>
      </c>
      <c r="Q100" s="16">
        <v>0.1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</row>
    <row r="101" spans="1:53">
      <c r="A101">
        <v>14</v>
      </c>
      <c r="B101" t="str">
        <v>Active</v>
      </c>
      <c r="C101" t="str">
        <v>Active</v>
      </c>
      <c r="D101" t="str">
        <v>Havasu</v>
      </c>
      <c r="E101" t="str">
        <v>Control Eng.</v>
      </c>
      <c r="F101" t="str">
        <v>Software</v>
      </c>
      <c r="G101" t="str">
        <v>Leader</v>
      </c>
      <c r="H101" t="str">
        <v>Gerald Park</v>
      </c>
      <c r="I101" s="20">
        <v>45833</v>
      </c>
      <c r="J101" s="20">
        <v>46013</v>
      </c>
      <c r="K101" s="16">
        <v>0.3</v>
      </c>
      <c r="L101" s="16">
        <v>0.1</v>
      </c>
      <c r="M101" s="16">
        <v>0.1</v>
      </c>
      <c r="N101" s="16">
        <v>0.1</v>
      </c>
      <c r="O101" s="16">
        <v>0.1</v>
      </c>
      <c r="P101" s="16">
        <v>0.1</v>
      </c>
      <c r="Q101" s="16">
        <v>0.1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</row>
    <row r="102" spans="1:53">
      <c r="A102">
        <v>15</v>
      </c>
      <c r="B102" t="str">
        <v>Active</v>
      </c>
      <c r="C102" t="str">
        <v>Active</v>
      </c>
      <c r="D102" t="str">
        <v>Havasu</v>
      </c>
      <c r="E102" t="str">
        <v>Control Eng.</v>
      </c>
      <c r="F102" t="str">
        <v>Software</v>
      </c>
      <c r="G102" t="str">
        <v>Software engineer</v>
      </c>
      <c r="H102" t="str">
        <v>Roy choi</v>
      </c>
      <c r="I102" s="20">
        <v>45833</v>
      </c>
      <c r="J102" s="20">
        <v>46013</v>
      </c>
      <c r="K102" s="16">
        <v>1</v>
      </c>
      <c r="L102" s="16">
        <v>0.5</v>
      </c>
      <c r="M102" s="16">
        <v>0.5</v>
      </c>
      <c r="N102" s="16">
        <v>0.5</v>
      </c>
      <c r="O102" s="16">
        <v>0.5</v>
      </c>
      <c r="P102" s="16">
        <v>0.5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</row>
    <row r="103" spans="1:53">
      <c r="A103">
        <v>16</v>
      </c>
      <c r="B103" t="str">
        <v>Active</v>
      </c>
      <c r="C103" t="str">
        <v>Active</v>
      </c>
      <c r="D103" t="str">
        <v>Havasu</v>
      </c>
      <c r="E103" t="str">
        <v>Control Eng.</v>
      </c>
      <c r="F103" t="str">
        <v>Software</v>
      </c>
      <c r="G103" t="str">
        <v>SW test engineer</v>
      </c>
      <c r="H103" t="str">
        <v>Moonsu Cho</v>
      </c>
      <c r="I103" s="20">
        <v>45833</v>
      </c>
      <c r="J103" s="20">
        <v>46013</v>
      </c>
      <c r="K103" s="16">
        <v>0.5</v>
      </c>
      <c r="L103" s="16">
        <v>0.5</v>
      </c>
      <c r="M103" s="16">
        <v>0.5</v>
      </c>
      <c r="N103" s="16">
        <v>0.5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</row>
    <row r="104" spans="1:53">
      <c r="A104">
        <v>17</v>
      </c>
      <c r="B104" t="str">
        <v>Active</v>
      </c>
      <c r="C104" t="str">
        <v>Active</v>
      </c>
      <c r="D104" t="str">
        <v>Havasu</v>
      </c>
      <c r="E104" t="str">
        <v>Control Eng.</v>
      </c>
      <c r="F104" t="str">
        <v>Electrical</v>
      </c>
      <c r="G104" t="str">
        <v>Leader</v>
      </c>
      <c r="H104" t="str">
        <v>Joshua Im</v>
      </c>
      <c r="I104" s="20">
        <v>45833</v>
      </c>
      <c r="J104" s="20">
        <v>46013</v>
      </c>
      <c r="K104" s="16">
        <v>0.4</v>
      </c>
      <c r="L104" s="16">
        <v>0.1</v>
      </c>
      <c r="M104" s="16">
        <v>0.1</v>
      </c>
      <c r="N104" s="16">
        <v>0.1</v>
      </c>
      <c r="O104" s="16">
        <v>0.1</v>
      </c>
      <c r="P104" s="16">
        <v>0.1</v>
      </c>
      <c r="Q104" s="16">
        <v>0.1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</row>
    <row r="105" spans="1:53">
      <c r="A105">
        <v>18</v>
      </c>
      <c r="B105" t="str">
        <v>Active</v>
      </c>
      <c r="C105" t="str">
        <v>Active</v>
      </c>
      <c r="D105" t="str">
        <v>Havasu</v>
      </c>
      <c r="E105" t="str">
        <v>Control Eng.</v>
      </c>
      <c r="F105" t="str">
        <v>Electrical</v>
      </c>
      <c r="G105" t="str">
        <v>Electrical engineer</v>
      </c>
      <c r="H105" t="str">
        <v>Andy Jang</v>
      </c>
      <c r="I105" s="20">
        <v>45833</v>
      </c>
      <c r="J105" s="20">
        <v>46013</v>
      </c>
      <c r="K105" s="16">
        <v>1</v>
      </c>
      <c r="L105" s="16">
        <v>1</v>
      </c>
      <c r="M105" s="16">
        <v>1</v>
      </c>
      <c r="N105" s="16">
        <v>0.5</v>
      </c>
      <c r="O105" s="16">
        <v>0</v>
      </c>
      <c r="P105" s="16">
        <v>0</v>
      </c>
      <c r="Q105" s="16">
        <v>0.5</v>
      </c>
      <c r="R105" s="16">
        <v>0.3</v>
      </c>
      <c r="S105" s="16">
        <v>0.1</v>
      </c>
      <c r="T105" s="16">
        <v>0.1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</row>
    <row r="106" spans="1:53">
      <c r="A106">
        <v>19</v>
      </c>
      <c r="B106" t="str">
        <v>Active</v>
      </c>
      <c r="C106" t="str">
        <v>Active</v>
      </c>
      <c r="D106" t="str">
        <v>Havasu</v>
      </c>
      <c r="E106" t="str">
        <v>Control Eng.</v>
      </c>
      <c r="F106" t="str">
        <v>Electrical</v>
      </c>
      <c r="G106" t="str">
        <v>Electrical engineer</v>
      </c>
      <c r="H106" t="str">
        <v>Electrical engineer</v>
      </c>
      <c r="I106" s="20">
        <v>45833</v>
      </c>
      <c r="J106" s="20">
        <v>46013</v>
      </c>
      <c r="K106" s="16">
        <v>0</v>
      </c>
      <c r="L106" s="16">
        <v>0</v>
      </c>
      <c r="M106" s="16">
        <v>0</v>
      </c>
      <c r="N106" s="16">
        <v>0.5</v>
      </c>
      <c r="O106" s="16">
        <v>0.5</v>
      </c>
      <c r="P106" s="16">
        <v>0.5</v>
      </c>
      <c r="Q106" s="16">
        <v>0.5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</row>
    <row r="107" spans="1:53">
      <c r="A107">
        <v>20</v>
      </c>
      <c r="B107" t="str">
        <v>Active</v>
      </c>
      <c r="C107" t="str">
        <v>Active</v>
      </c>
      <c r="D107" t="str">
        <v>Havasu</v>
      </c>
      <c r="E107">
        <v>0</v>
      </c>
      <c r="F107">
        <v>0</v>
      </c>
      <c r="G107">
        <v>0</v>
      </c>
      <c r="H107" t="str">
        <v>Gate plan</v>
      </c>
      <c r="I107" s="20">
        <v>45833</v>
      </c>
      <c r="J107" s="20">
        <v>46013</v>
      </c>
      <c r="K107" s="16" t="str">
        <v>G5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 t="str">
        <v>G6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</row>
    <row r="108" spans="1:53">
      <c r="A108">
        <v>1</v>
      </c>
      <c r="B108" t="str">
        <v>Active</v>
      </c>
      <c r="C108">
        <v>0</v>
      </c>
      <c r="D108" t="str">
        <v>Tumalo Ph1</v>
      </c>
      <c r="E108" t="str">
        <v>Engineering</v>
      </c>
      <c r="F108" t="str">
        <v>* Manager</v>
      </c>
      <c r="G108" t="str">
        <v>* Eng Manager</v>
      </c>
      <c r="H108" t="str">
        <v>Jiyoung Son</v>
      </c>
      <c r="I108" s="20">
        <v>46054</v>
      </c>
      <c r="J108" s="20">
        <v>46264</v>
      </c>
      <c r="K108" s="16">
        <v>0.2</v>
      </c>
      <c r="L108" s="16">
        <v>0.2</v>
      </c>
      <c r="M108" s="16">
        <v>0.2</v>
      </c>
      <c r="N108" s="16">
        <v>0.2</v>
      </c>
      <c r="O108" s="16">
        <v>0.2</v>
      </c>
      <c r="P108" s="16">
        <v>0.2</v>
      </c>
      <c r="Q108" s="16">
        <v>0.2</v>
      </c>
      <c r="R108" s="16">
        <v>0.2</v>
      </c>
      <c r="S108" s="16">
        <v>0.2</v>
      </c>
      <c r="T108" s="16">
        <v>0.2</v>
      </c>
      <c r="U108" s="16">
        <v>0.1</v>
      </c>
      <c r="V108" s="16">
        <v>0.1</v>
      </c>
      <c r="W108" s="16">
        <v>0.1</v>
      </c>
      <c r="X108" s="16">
        <v>0.1</v>
      </c>
      <c r="Y108" s="16">
        <v>0.1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</row>
    <row r="109" spans="1:53">
      <c r="A109">
        <v>2</v>
      </c>
      <c r="B109" t="str">
        <v>Active</v>
      </c>
      <c r="C109">
        <v>0</v>
      </c>
      <c r="D109" t="str">
        <v>Tumalo Ph1</v>
      </c>
      <c r="E109" t="str">
        <v>PMO</v>
      </c>
      <c r="F109" t="str">
        <v>* Manager</v>
      </c>
      <c r="G109" t="str">
        <v>* Manager</v>
      </c>
      <c r="H109" t="str">
        <v>Jinney Lee</v>
      </c>
      <c r="I109" s="20">
        <v>46054</v>
      </c>
      <c r="J109" s="20">
        <v>46264</v>
      </c>
      <c r="K109" s="16">
        <v>0.2</v>
      </c>
      <c r="L109" s="16">
        <v>0.3</v>
      </c>
      <c r="M109" s="16">
        <v>0.3</v>
      </c>
      <c r="N109" s="16">
        <v>0.3</v>
      </c>
      <c r="O109" s="16">
        <v>0.3</v>
      </c>
      <c r="P109" s="16">
        <v>0.3</v>
      </c>
      <c r="Q109" s="16">
        <v>0.3</v>
      </c>
      <c r="R109" s="16">
        <v>0.3</v>
      </c>
      <c r="S109" s="16">
        <v>0.3</v>
      </c>
      <c r="T109" s="16">
        <v>0.2</v>
      </c>
      <c r="U109" s="16">
        <v>0.2</v>
      </c>
      <c r="V109" s="16">
        <v>0.2</v>
      </c>
      <c r="W109" s="16">
        <v>0.2</v>
      </c>
      <c r="X109" s="16">
        <v>0.2</v>
      </c>
      <c r="Y109" s="16">
        <v>0.2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</row>
    <row r="110" spans="1:53">
      <c r="A110">
        <v>3</v>
      </c>
      <c r="B110" t="str">
        <v>Active</v>
      </c>
      <c r="C110">
        <v>0</v>
      </c>
      <c r="D110" t="str">
        <v>Tumalo Ph1</v>
      </c>
      <c r="E110" t="str">
        <v>PMO</v>
      </c>
      <c r="F110" t="str">
        <v>PM</v>
      </c>
      <c r="G110" t="str">
        <v>PM</v>
      </c>
      <c r="H110" t="str">
        <v>Yuro Lee</v>
      </c>
      <c r="I110" s="20">
        <v>46054</v>
      </c>
      <c r="J110" s="20">
        <v>46264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0.7</v>
      </c>
      <c r="R110" s="16">
        <v>0.5</v>
      </c>
      <c r="S110" s="16">
        <v>0.5</v>
      </c>
      <c r="T110" s="16">
        <v>0.5</v>
      </c>
      <c r="U110" s="16">
        <v>0.5</v>
      </c>
      <c r="V110" s="16">
        <v>0.5</v>
      </c>
      <c r="W110" s="16">
        <v>0.5</v>
      </c>
      <c r="X110" s="16">
        <v>0.5</v>
      </c>
      <c r="Y110" s="16">
        <v>0.5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</row>
    <row r="111" spans="1:53">
      <c r="A111">
        <v>4</v>
      </c>
      <c r="B111" t="str">
        <v>Active</v>
      </c>
      <c r="C111" t="str">
        <v>Active</v>
      </c>
      <c r="D111" t="str">
        <v>Tumalo Ph1</v>
      </c>
      <c r="E111" t="str">
        <v>NPI IS</v>
      </c>
      <c r="F111" t="str">
        <v>* Manager</v>
      </c>
      <c r="G111" t="str">
        <v>* Manager</v>
      </c>
      <c r="H111" t="str">
        <v>Dorothy Noh</v>
      </c>
      <c r="I111" s="20">
        <v>46054</v>
      </c>
      <c r="J111" s="20">
        <v>46264</v>
      </c>
      <c r="K111" s="16">
        <v>0.2</v>
      </c>
      <c r="L111" s="16">
        <v>0.3</v>
      </c>
      <c r="M111" s="16">
        <v>0.3</v>
      </c>
      <c r="N111" s="16">
        <v>0.3</v>
      </c>
      <c r="O111" s="16">
        <v>0.3</v>
      </c>
      <c r="P111" s="16">
        <v>0.3</v>
      </c>
      <c r="Q111" s="16">
        <v>0.2</v>
      </c>
      <c r="R111" s="16">
        <v>0.3</v>
      </c>
      <c r="S111" s="16">
        <v>0.3</v>
      </c>
      <c r="T111" s="16">
        <v>0.2</v>
      </c>
      <c r="U111" s="16">
        <v>0.2</v>
      </c>
      <c r="V111" s="16">
        <v>0.2</v>
      </c>
      <c r="W111" s="16">
        <v>0.1</v>
      </c>
      <c r="X111" s="16">
        <v>0.1</v>
      </c>
      <c r="Y111" s="16">
        <v>0.1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</row>
    <row r="112" spans="1:53">
      <c r="A112">
        <v>5</v>
      </c>
      <c r="B112" t="str">
        <v>Active</v>
      </c>
      <c r="C112" t="str">
        <v>Active</v>
      </c>
      <c r="D112" t="str">
        <v>Tumalo Ph1</v>
      </c>
      <c r="E112" t="str">
        <v>NPI IS</v>
      </c>
      <c r="F112" t="str">
        <v>System 3</v>
      </c>
      <c r="G112" t="str">
        <v>Tech Lead</v>
      </c>
      <c r="H112" t="str">
        <v>Jacob Lee</v>
      </c>
      <c r="I112" s="20">
        <v>46054</v>
      </c>
      <c r="J112" s="20">
        <v>46264</v>
      </c>
      <c r="K112" s="16">
        <v>1</v>
      </c>
      <c r="L112" s="16">
        <v>1</v>
      </c>
      <c r="M112" s="16">
        <v>1</v>
      </c>
      <c r="N112" s="16">
        <v>0.6</v>
      </c>
      <c r="O112" s="16">
        <v>0.6</v>
      </c>
      <c r="P112" s="16">
        <v>0.6</v>
      </c>
      <c r="Q112" s="16">
        <v>0.6</v>
      </c>
      <c r="R112" s="16">
        <v>0.6</v>
      </c>
      <c r="S112" s="16">
        <v>0.6</v>
      </c>
      <c r="T112" s="16">
        <v>0.5</v>
      </c>
      <c r="U112" s="16">
        <v>0.5</v>
      </c>
      <c r="V112" s="16">
        <v>0.5</v>
      </c>
      <c r="W112" s="16">
        <v>0.5</v>
      </c>
      <c r="X112" s="16">
        <v>0.5</v>
      </c>
      <c r="Y112" s="16">
        <v>0.5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</row>
    <row r="113" spans="1:53">
      <c r="A113">
        <v>6</v>
      </c>
      <c r="B113" t="str">
        <v>Active</v>
      </c>
      <c r="C113" t="str">
        <v>Active</v>
      </c>
      <c r="D113" t="str">
        <v>Tumalo Ph1</v>
      </c>
      <c r="E113" t="str">
        <v>NPI IS</v>
      </c>
      <c r="F113" t="str">
        <v>System 3</v>
      </c>
      <c r="G113" t="str">
        <v>Tech Lead</v>
      </c>
      <c r="H113" t="str">
        <v>Grace Ji</v>
      </c>
      <c r="I113" s="20">
        <v>46054</v>
      </c>
      <c r="J113" s="20">
        <v>46264</v>
      </c>
      <c r="K113" s="16">
        <v>1</v>
      </c>
      <c r="L113" s="16">
        <v>1</v>
      </c>
      <c r="M113" s="16">
        <v>1</v>
      </c>
      <c r="N113" s="16">
        <v>1</v>
      </c>
      <c r="O113" s="16">
        <v>0.5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</row>
    <row r="114" spans="1:53">
      <c r="A114">
        <v>7</v>
      </c>
      <c r="B114" t="str">
        <v>Active</v>
      </c>
      <c r="C114" t="str">
        <v>Active</v>
      </c>
      <c r="D114" t="str">
        <v>Tumalo Ph1</v>
      </c>
      <c r="E114" t="str">
        <v>NPI IS</v>
      </c>
      <c r="F114" t="str">
        <v>System 2</v>
      </c>
      <c r="G114" t="str">
        <v>System engineer</v>
      </c>
      <c r="H114" t="str">
        <v>Harry Kwak</v>
      </c>
      <c r="I114" s="20">
        <v>46054</v>
      </c>
      <c r="J114" s="20">
        <v>46264</v>
      </c>
      <c r="K114" s="16">
        <v>1</v>
      </c>
      <c r="L114" s="16">
        <v>1</v>
      </c>
      <c r="M114" s="16">
        <v>0.6</v>
      </c>
      <c r="N114" s="16">
        <v>0.6</v>
      </c>
      <c r="O114" s="16">
        <v>0.5</v>
      </c>
      <c r="P114" s="16">
        <v>0.5</v>
      </c>
      <c r="Q114" s="16">
        <v>0.6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</row>
    <row r="115" spans="1:53">
      <c r="A115">
        <v>8</v>
      </c>
      <c r="B115" t="str">
        <v>Active</v>
      </c>
      <c r="C115" t="str">
        <v>Active</v>
      </c>
      <c r="D115" t="str">
        <v>Tumalo Ph1</v>
      </c>
      <c r="E115" t="str">
        <v>NPI IS</v>
      </c>
      <c r="F115" t="str">
        <v>System 3</v>
      </c>
      <c r="G115" t="str">
        <v>System engineer</v>
      </c>
      <c r="H115" t="str">
        <v xml:space="preserve">Alyssa Park </v>
      </c>
      <c r="I115" s="20">
        <v>46054</v>
      </c>
      <c r="J115" s="20">
        <v>46264</v>
      </c>
      <c r="K115" s="16">
        <v>1</v>
      </c>
      <c r="L115" s="16">
        <v>1</v>
      </c>
      <c r="M115" s="16">
        <v>0.6</v>
      </c>
      <c r="N115" s="16">
        <v>0.6</v>
      </c>
      <c r="O115" s="16">
        <v>0.6</v>
      </c>
      <c r="P115" s="16">
        <v>0.6</v>
      </c>
      <c r="Q115" s="16">
        <v>0.6</v>
      </c>
      <c r="R115" s="16">
        <v>0.6</v>
      </c>
      <c r="S115" s="16">
        <v>0.6</v>
      </c>
      <c r="T115" s="16">
        <v>0.6</v>
      </c>
      <c r="U115" s="16">
        <v>0.6</v>
      </c>
      <c r="V115" s="16">
        <v>0.6</v>
      </c>
      <c r="W115" s="16">
        <v>0.6</v>
      </c>
      <c r="X115" s="16">
        <v>0.6</v>
      </c>
      <c r="Y115" s="16">
        <v>0.6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</row>
    <row r="116" spans="1:53">
      <c r="A116">
        <v>9</v>
      </c>
      <c r="B116" t="str">
        <v>Active</v>
      </c>
      <c r="C116" t="str">
        <v>Active</v>
      </c>
      <c r="D116" t="str">
        <v>Tumalo Ph1</v>
      </c>
      <c r="E116" t="str">
        <v>NPI IS</v>
      </c>
      <c r="F116" t="str">
        <v>System 3</v>
      </c>
      <c r="G116" t="str">
        <v>System engineer</v>
      </c>
      <c r="H116" t="str">
        <v>Noah Yeom</v>
      </c>
      <c r="I116" s="20">
        <v>46054</v>
      </c>
      <c r="J116" s="20">
        <v>46264</v>
      </c>
      <c r="K116" s="16">
        <v>1</v>
      </c>
      <c r="L116" s="16">
        <v>1</v>
      </c>
      <c r="M116" s="16">
        <v>0.6</v>
      </c>
      <c r="N116" s="16">
        <v>0.6</v>
      </c>
      <c r="O116" s="16">
        <v>0.6</v>
      </c>
      <c r="P116" s="16">
        <v>0.6</v>
      </c>
      <c r="Q116" s="16">
        <v>0.6</v>
      </c>
      <c r="R116" s="16">
        <v>0.6</v>
      </c>
      <c r="S116" s="16">
        <v>0.6</v>
      </c>
      <c r="T116" s="16">
        <v>0.6</v>
      </c>
      <c r="U116" s="16">
        <v>0.6</v>
      </c>
      <c r="V116" s="16">
        <v>0.6</v>
      </c>
      <c r="W116" s="16">
        <v>0.6</v>
      </c>
      <c r="X116" s="16">
        <v>0.6</v>
      </c>
      <c r="Y116" s="16">
        <v>0.6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</row>
    <row r="117" spans="1:53">
      <c r="A117">
        <v>10</v>
      </c>
      <c r="B117" t="str">
        <v>Active</v>
      </c>
      <c r="C117" t="str">
        <v>Active</v>
      </c>
      <c r="D117" t="str">
        <v>Tumalo Ph1</v>
      </c>
      <c r="E117" t="str">
        <v>NPI IS</v>
      </c>
      <c r="F117" t="str">
        <v>System 1</v>
      </c>
      <c r="G117" t="str">
        <v>System engineer</v>
      </c>
      <c r="H117" t="str">
        <v>Anders You</v>
      </c>
      <c r="I117" s="20">
        <v>46054</v>
      </c>
      <c r="J117" s="20">
        <v>46264</v>
      </c>
      <c r="K117" s="16">
        <v>0</v>
      </c>
      <c r="L117" s="16">
        <v>0</v>
      </c>
      <c r="M117" s="16">
        <v>0</v>
      </c>
      <c r="N117" s="16">
        <v>0.5</v>
      </c>
      <c r="O117" s="16">
        <v>0.5</v>
      </c>
      <c r="P117" s="16">
        <v>0.5</v>
      </c>
      <c r="Q117" s="16">
        <v>0.5</v>
      </c>
      <c r="R117" s="16">
        <v>0.5</v>
      </c>
      <c r="S117" s="16">
        <v>0.5</v>
      </c>
      <c r="T117" s="16">
        <v>0.5</v>
      </c>
      <c r="U117" s="16">
        <v>0.5</v>
      </c>
      <c r="V117" s="16">
        <v>0.5</v>
      </c>
      <c r="W117" s="16">
        <v>0.5</v>
      </c>
      <c r="X117" s="16">
        <v>0.5</v>
      </c>
      <c r="Y117" s="16">
        <v>0.5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</row>
    <row r="118" spans="1:53">
      <c r="A118">
        <v>11</v>
      </c>
      <c r="B118" t="str">
        <v>Active</v>
      </c>
      <c r="C118" t="str">
        <v>Active</v>
      </c>
      <c r="D118" t="str">
        <v>Tumalo Ph1</v>
      </c>
      <c r="E118" t="str">
        <v>NPI IS</v>
      </c>
      <c r="F118" t="str">
        <v>System 3</v>
      </c>
      <c r="G118" t="str">
        <v>Service engineer</v>
      </c>
      <c r="H118" t="str">
        <v>Fred Lee</v>
      </c>
      <c r="I118" s="20">
        <v>46054</v>
      </c>
      <c r="J118" s="20">
        <v>46264</v>
      </c>
      <c r="K118" s="16">
        <v>1</v>
      </c>
      <c r="L118" s="16">
        <v>1</v>
      </c>
      <c r="M118" s="16">
        <v>0.6</v>
      </c>
      <c r="N118" s="16">
        <v>0.6</v>
      </c>
      <c r="O118" s="16">
        <v>0.6</v>
      </c>
      <c r="P118" s="16">
        <v>0.6</v>
      </c>
      <c r="Q118" s="16">
        <v>0.6</v>
      </c>
      <c r="R118" s="16">
        <v>0.6</v>
      </c>
      <c r="S118" s="16">
        <v>0.6</v>
      </c>
      <c r="T118" s="16">
        <v>0.6</v>
      </c>
      <c r="U118" s="16">
        <v>0.6</v>
      </c>
      <c r="V118" s="16">
        <v>0.6</v>
      </c>
      <c r="W118" s="16">
        <v>0.6</v>
      </c>
      <c r="X118" s="16">
        <v>0.6</v>
      </c>
      <c r="Y118" s="16">
        <v>0.6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</row>
    <row r="119" spans="1:53">
      <c r="A119">
        <v>12</v>
      </c>
      <c r="B119" t="str">
        <v>Active</v>
      </c>
      <c r="C119" t="str">
        <v>Active</v>
      </c>
      <c r="D119" t="str">
        <v>Tumalo Ph1</v>
      </c>
      <c r="E119" t="str">
        <v>NPI IS</v>
      </c>
      <c r="F119" t="str">
        <v>System 1</v>
      </c>
      <c r="G119" t="str">
        <v>Service engineer</v>
      </c>
      <c r="H119" t="str">
        <v>Chan Hwang</v>
      </c>
      <c r="I119" s="20">
        <v>46054</v>
      </c>
      <c r="J119" s="20">
        <v>46264</v>
      </c>
      <c r="K119" s="16">
        <v>1</v>
      </c>
      <c r="L119" s="16">
        <v>1</v>
      </c>
      <c r="M119" s="16">
        <v>0.6</v>
      </c>
      <c r="N119" s="16">
        <v>0.6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</row>
    <row r="120" spans="1:53">
      <c r="A120">
        <v>13</v>
      </c>
      <c r="B120" t="str">
        <v>Active</v>
      </c>
      <c r="C120" t="str">
        <v>Active</v>
      </c>
      <c r="D120" t="str">
        <v>Tumalo Ph1</v>
      </c>
      <c r="E120" t="str">
        <v>NPI IS</v>
      </c>
      <c r="F120" t="str">
        <v>System 1</v>
      </c>
      <c r="G120" t="str">
        <v>Technician</v>
      </c>
      <c r="H120" t="str">
        <v>Robin Park</v>
      </c>
      <c r="I120" s="20">
        <v>46054</v>
      </c>
      <c r="J120" s="20">
        <v>46264</v>
      </c>
      <c r="K120" s="16">
        <v>0.8</v>
      </c>
      <c r="L120" s="16">
        <v>0.8</v>
      </c>
      <c r="M120" s="16">
        <v>0.8</v>
      </c>
      <c r="N120" s="16">
        <v>0.8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</row>
    <row r="121" spans="1:53">
      <c r="A121">
        <v>14</v>
      </c>
      <c r="B121" t="str">
        <v>Active</v>
      </c>
      <c r="C121" t="str">
        <v>Active</v>
      </c>
      <c r="D121" t="str">
        <v>Tumalo Ph1</v>
      </c>
      <c r="E121" t="str">
        <v>NPI IS</v>
      </c>
      <c r="F121" t="str">
        <v>Mechanical</v>
      </c>
      <c r="G121" t="str">
        <v>Leader</v>
      </c>
      <c r="H121" t="str">
        <v>Jeremy Park</v>
      </c>
      <c r="I121" s="20">
        <v>46054</v>
      </c>
      <c r="J121" s="20">
        <v>46264</v>
      </c>
      <c r="K121" s="16">
        <v>0.3</v>
      </c>
      <c r="L121" s="16">
        <v>0.3</v>
      </c>
      <c r="M121" s="16">
        <v>0.5</v>
      </c>
      <c r="N121" s="16">
        <v>0.3</v>
      </c>
      <c r="O121" s="16">
        <v>0.3</v>
      </c>
      <c r="P121" s="16">
        <v>0.3</v>
      </c>
      <c r="Q121" s="16">
        <v>0.3</v>
      </c>
      <c r="R121" s="16">
        <v>0.1</v>
      </c>
      <c r="S121" s="16">
        <v>0.1</v>
      </c>
      <c r="T121" s="16">
        <v>0.1</v>
      </c>
      <c r="U121" s="16">
        <v>0.1</v>
      </c>
      <c r="V121" s="16">
        <v>0.1</v>
      </c>
      <c r="W121" s="16">
        <v>0.1</v>
      </c>
      <c r="X121" s="16">
        <v>0.1</v>
      </c>
      <c r="Y121" s="16">
        <v>0.1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</row>
    <row r="122" spans="1:53">
      <c r="A122">
        <v>15</v>
      </c>
      <c r="B122" t="str">
        <v>Active</v>
      </c>
      <c r="C122" t="str">
        <v>Active</v>
      </c>
      <c r="D122" t="str">
        <v>Tumalo Ph1</v>
      </c>
      <c r="E122" t="str">
        <v>NPI IS</v>
      </c>
      <c r="F122" t="str">
        <v>Mechanical</v>
      </c>
      <c r="G122" t="str">
        <v>Mechanical engineer</v>
      </c>
      <c r="H122" t="str">
        <v>Evan Yu</v>
      </c>
      <c r="I122" s="20">
        <v>46054</v>
      </c>
      <c r="J122" s="20">
        <v>46264</v>
      </c>
      <c r="K122" s="16">
        <v>1</v>
      </c>
      <c r="L122" s="16">
        <v>1</v>
      </c>
      <c r="M122" s="16">
        <v>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</row>
    <row r="123" spans="1:53">
      <c r="A123">
        <v>16</v>
      </c>
      <c r="B123" t="str">
        <v>Active</v>
      </c>
      <c r="C123" t="str">
        <v>Active</v>
      </c>
      <c r="D123" t="str">
        <v>Tumalo Ph1</v>
      </c>
      <c r="E123" t="str">
        <v>NPI IS</v>
      </c>
      <c r="F123" t="str">
        <v>Mechanical</v>
      </c>
      <c r="G123" t="str">
        <v>Mechanical engineer</v>
      </c>
      <c r="H123" t="str">
        <v>Wayne Jo</v>
      </c>
      <c r="I123" s="20">
        <v>46054</v>
      </c>
      <c r="J123" s="20">
        <v>46264</v>
      </c>
      <c r="K123" s="16">
        <v>0.5</v>
      </c>
      <c r="L123" s="16">
        <v>0.5</v>
      </c>
      <c r="M123" s="16">
        <v>1</v>
      </c>
      <c r="N123" s="16">
        <v>0.5</v>
      </c>
      <c r="O123" s="16">
        <v>0.5</v>
      </c>
      <c r="P123" s="16">
        <v>0.5</v>
      </c>
      <c r="Q123" s="16">
        <v>0.5</v>
      </c>
      <c r="R123" s="16">
        <v>0.5</v>
      </c>
      <c r="S123" s="16">
        <v>0.5</v>
      </c>
      <c r="T123" s="16">
        <v>0.5</v>
      </c>
      <c r="U123" s="16">
        <v>0.5</v>
      </c>
      <c r="V123" s="16">
        <v>0.5</v>
      </c>
      <c r="W123" s="16">
        <v>0.5</v>
      </c>
      <c r="X123" s="16">
        <v>0.5</v>
      </c>
      <c r="Y123" s="16">
        <v>0.5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</row>
    <row r="124" spans="1:53">
      <c r="A124">
        <v>17</v>
      </c>
      <c r="B124" t="str">
        <v>Active</v>
      </c>
      <c r="C124" t="str">
        <v>Active</v>
      </c>
      <c r="D124" t="str">
        <v>Tumalo Ph1</v>
      </c>
      <c r="E124" t="str">
        <v>NPI IS</v>
      </c>
      <c r="F124" t="str">
        <v>Mechanical</v>
      </c>
      <c r="G124" t="str">
        <v>Mechanical engineer</v>
      </c>
      <c r="H124" t="str">
        <v>Esther Jeong</v>
      </c>
      <c r="I124" s="20">
        <v>46054</v>
      </c>
      <c r="J124" s="20">
        <v>46264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</row>
    <row r="125" spans="1:53">
      <c r="A125">
        <v>18</v>
      </c>
      <c r="B125" t="str">
        <v>Active</v>
      </c>
      <c r="C125" t="str">
        <v>Active</v>
      </c>
      <c r="D125" t="str">
        <v>Tumalo Ph1</v>
      </c>
      <c r="E125" t="str">
        <v>Control Eng.</v>
      </c>
      <c r="F125" t="str">
        <v>* Manager</v>
      </c>
      <c r="G125" t="str">
        <v>* Manager</v>
      </c>
      <c r="H125" t="str">
        <v>Mogen Seo</v>
      </c>
      <c r="I125" s="20">
        <v>46054</v>
      </c>
      <c r="J125" s="20">
        <v>46264</v>
      </c>
      <c r="K125" s="16">
        <v>0.2</v>
      </c>
      <c r="L125" s="16">
        <v>0.2</v>
      </c>
      <c r="M125" s="16">
        <v>0.2</v>
      </c>
      <c r="N125" s="16">
        <v>0.2</v>
      </c>
      <c r="O125" s="16">
        <v>0.2</v>
      </c>
      <c r="P125" s="16">
        <v>0.2</v>
      </c>
      <c r="Q125" s="16">
        <v>0.2</v>
      </c>
      <c r="R125" s="16">
        <v>0.2</v>
      </c>
      <c r="S125" s="16">
        <v>0.2</v>
      </c>
      <c r="T125" s="16">
        <v>0.1</v>
      </c>
      <c r="U125" s="16">
        <v>0.1</v>
      </c>
      <c r="V125" s="16">
        <v>0.1</v>
      </c>
      <c r="W125" s="16">
        <v>0.1</v>
      </c>
      <c r="X125" s="16">
        <v>0.1</v>
      </c>
      <c r="Y125" s="16">
        <v>0.1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</row>
    <row r="126" spans="1:53">
      <c r="A126">
        <v>19</v>
      </c>
      <c r="B126" t="str">
        <v>Active</v>
      </c>
      <c r="C126" t="str">
        <v>Active</v>
      </c>
      <c r="D126" t="str">
        <v>Tumalo Ph1</v>
      </c>
      <c r="E126" t="str">
        <v>Control Eng.</v>
      </c>
      <c r="F126" t="str">
        <v>Software</v>
      </c>
      <c r="G126" t="str">
        <v>Leader</v>
      </c>
      <c r="H126" t="str">
        <v>Gerald Park</v>
      </c>
      <c r="I126" s="20">
        <v>46054</v>
      </c>
      <c r="J126" s="20">
        <v>46264</v>
      </c>
      <c r="K126" s="16">
        <v>0.3</v>
      </c>
      <c r="L126" s="16">
        <v>0.3</v>
      </c>
      <c r="M126" s="16">
        <v>0.2</v>
      </c>
      <c r="N126" s="16">
        <v>0.2</v>
      </c>
      <c r="O126" s="16">
        <v>0.2</v>
      </c>
      <c r="P126" s="16">
        <v>0.2</v>
      </c>
      <c r="Q126" s="16">
        <v>0.2</v>
      </c>
      <c r="R126" s="16">
        <v>0.2</v>
      </c>
      <c r="S126" s="16">
        <v>0.2</v>
      </c>
      <c r="T126" s="16">
        <v>0.1</v>
      </c>
      <c r="U126" s="16">
        <v>0.1</v>
      </c>
      <c r="V126" s="16">
        <v>0.1</v>
      </c>
      <c r="W126" s="16">
        <v>0.1</v>
      </c>
      <c r="X126" s="16">
        <v>0.1</v>
      </c>
      <c r="Y126" s="16">
        <v>0.1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</row>
    <row r="127" spans="1:53">
      <c r="A127">
        <v>20</v>
      </c>
      <c r="B127" t="str">
        <v>Active</v>
      </c>
      <c r="C127" t="str">
        <v>Active</v>
      </c>
      <c r="D127" t="str">
        <v>Tumalo Ph1</v>
      </c>
      <c r="E127" t="str">
        <v>Control Eng.</v>
      </c>
      <c r="F127" t="str">
        <v>Software</v>
      </c>
      <c r="G127" t="str">
        <v>Software engineer</v>
      </c>
      <c r="H127" t="str">
        <v>Ethan Jung</v>
      </c>
      <c r="I127" s="20">
        <v>46054</v>
      </c>
      <c r="J127" s="20">
        <v>46264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</row>
    <row r="128" spans="1:53">
      <c r="A128">
        <v>21</v>
      </c>
      <c r="B128" t="str">
        <v>Active</v>
      </c>
      <c r="C128" t="str">
        <v>Active</v>
      </c>
      <c r="D128" t="str">
        <v>Tumalo Ph1</v>
      </c>
      <c r="E128" t="str">
        <v>Control Eng.</v>
      </c>
      <c r="F128" t="str">
        <v>Software</v>
      </c>
      <c r="G128" t="str">
        <v>Software engineer</v>
      </c>
      <c r="H128" t="str">
        <v>Roy Choi</v>
      </c>
      <c r="I128" s="20">
        <v>46054</v>
      </c>
      <c r="J128" s="20">
        <v>46264</v>
      </c>
      <c r="K128" s="16">
        <v>0.5</v>
      </c>
      <c r="L128" s="16">
        <v>0.5</v>
      </c>
      <c r="M128" s="16">
        <v>0.5</v>
      </c>
      <c r="N128" s="16">
        <v>0.5</v>
      </c>
      <c r="O128" s="16">
        <v>0.5</v>
      </c>
      <c r="P128" s="16">
        <v>0.5</v>
      </c>
      <c r="Q128" s="16">
        <v>0.5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</row>
    <row r="129" spans="1:53">
      <c r="A129">
        <v>22</v>
      </c>
      <c r="B129" t="str">
        <v>Active</v>
      </c>
      <c r="C129" t="str">
        <v>Active</v>
      </c>
      <c r="D129" t="str">
        <v>Tumalo Ph1</v>
      </c>
      <c r="E129" t="str">
        <v>Control Eng.</v>
      </c>
      <c r="F129" t="str">
        <v>Software</v>
      </c>
      <c r="G129" t="str">
        <v>Software engineer</v>
      </c>
      <c r="H129" t="str">
        <v>Ashley Yun</v>
      </c>
      <c r="I129" s="20">
        <v>46054</v>
      </c>
      <c r="J129" s="20">
        <v>46264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</row>
    <row r="130" spans="1:53">
      <c r="A130">
        <v>23</v>
      </c>
      <c r="B130" t="str">
        <v>Active</v>
      </c>
      <c r="C130" t="str">
        <v>Active</v>
      </c>
      <c r="D130" t="str">
        <v>Tumalo Ph1</v>
      </c>
      <c r="E130" t="str">
        <v>Control Eng.</v>
      </c>
      <c r="F130" t="str">
        <v>Software</v>
      </c>
      <c r="G130" t="str">
        <v>Software engineer</v>
      </c>
      <c r="H130" t="str">
        <v>Rachel Bae</v>
      </c>
      <c r="I130" s="20">
        <v>46054</v>
      </c>
      <c r="J130" s="20">
        <v>46264</v>
      </c>
      <c r="K130" s="16">
        <v>0.5</v>
      </c>
      <c r="L130" s="16">
        <v>0.5</v>
      </c>
      <c r="M130" s="16">
        <v>0.5</v>
      </c>
      <c r="N130" s="16">
        <v>0.5</v>
      </c>
      <c r="O130" s="16">
        <v>0.5</v>
      </c>
      <c r="P130" s="16">
        <v>0.5</v>
      </c>
      <c r="Q130" s="16">
        <v>0.5</v>
      </c>
      <c r="R130" s="16">
        <v>0.5</v>
      </c>
      <c r="S130" s="16">
        <v>0.5</v>
      </c>
      <c r="T130" s="16">
        <v>0.5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</row>
    <row r="131" spans="1:53">
      <c r="A131">
        <v>24</v>
      </c>
      <c r="B131" t="str">
        <v>Active</v>
      </c>
      <c r="C131" t="str">
        <v>Active</v>
      </c>
      <c r="D131" t="str">
        <v>Tumalo Ph1</v>
      </c>
      <c r="E131" t="str">
        <v>Control Eng.</v>
      </c>
      <c r="F131" t="str">
        <v>Software</v>
      </c>
      <c r="G131" t="str">
        <v>SW test engineer</v>
      </c>
      <c r="H131" t="str">
        <v>Dave Kim</v>
      </c>
      <c r="I131" s="20">
        <v>46054</v>
      </c>
      <c r="J131" s="20">
        <v>46264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  <c r="R131" s="16">
        <v>1</v>
      </c>
      <c r="S131" s="16">
        <v>1</v>
      </c>
      <c r="T131" s="16">
        <v>1</v>
      </c>
      <c r="U131" s="16">
        <v>1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</row>
    <row r="132" spans="1:53">
      <c r="A132">
        <v>25</v>
      </c>
      <c r="B132" t="str">
        <v>Active</v>
      </c>
      <c r="C132" t="str">
        <v>Active</v>
      </c>
      <c r="D132" t="str">
        <v>Tumalo Ph1</v>
      </c>
      <c r="E132" t="str">
        <v>Control Eng.</v>
      </c>
      <c r="F132" t="str">
        <v>Software</v>
      </c>
      <c r="G132" t="str">
        <v>SW test engineer</v>
      </c>
      <c r="H132" t="str">
        <v>Moonsu Cho</v>
      </c>
      <c r="I132" s="20">
        <v>46054</v>
      </c>
      <c r="J132" s="20">
        <v>46264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0.5</v>
      </c>
      <c r="W132" s="16">
        <v>0.5</v>
      </c>
      <c r="X132" s="16">
        <v>0.5</v>
      </c>
      <c r="Y132" s="16">
        <v>0.5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</row>
    <row r="133" spans="1:53">
      <c r="A133">
        <v>26</v>
      </c>
      <c r="B133" t="str">
        <v>Active</v>
      </c>
      <c r="C133" t="str">
        <v>Active</v>
      </c>
      <c r="D133" t="str">
        <v>Tumalo Ph1</v>
      </c>
      <c r="E133" t="str">
        <v>Control Eng.</v>
      </c>
      <c r="F133" t="str">
        <v>Software</v>
      </c>
      <c r="G133" t="str">
        <v>SW test engineer</v>
      </c>
      <c r="H133" t="str">
        <v>Amelia An</v>
      </c>
      <c r="I133" s="20">
        <v>46054</v>
      </c>
      <c r="J133" s="20">
        <v>46264</v>
      </c>
      <c r="K133" s="16">
        <v>0</v>
      </c>
      <c r="L133" s="16">
        <v>0.5</v>
      </c>
      <c r="M133" s="16">
        <v>0.5</v>
      </c>
      <c r="N133" s="16">
        <v>0.5</v>
      </c>
      <c r="O133" s="16">
        <v>0.5</v>
      </c>
      <c r="P133" s="16">
        <v>0.5</v>
      </c>
      <c r="Q133" s="16">
        <v>0.5</v>
      </c>
      <c r="R133" s="16">
        <v>0.5</v>
      </c>
      <c r="S133" s="16">
        <v>0.5</v>
      </c>
      <c r="T133" s="16">
        <v>0.5</v>
      </c>
      <c r="U133" s="16">
        <v>0.5</v>
      </c>
      <c r="V133" s="16">
        <v>0.5</v>
      </c>
      <c r="W133" s="16">
        <v>0.5</v>
      </c>
      <c r="X133" s="16">
        <v>0.5</v>
      </c>
      <c r="Y133" s="16">
        <v>0.5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</row>
    <row r="134" spans="1:53">
      <c r="A134">
        <v>28</v>
      </c>
      <c r="B134" t="str">
        <v>Active</v>
      </c>
      <c r="C134" t="str">
        <v>Active</v>
      </c>
      <c r="D134" t="str">
        <v>Tumalo Ph1</v>
      </c>
      <c r="E134" t="str">
        <v>Control Eng.</v>
      </c>
      <c r="F134" t="str">
        <v>Electrical</v>
      </c>
      <c r="G134" t="str">
        <v>Leader</v>
      </c>
      <c r="H134" t="str">
        <v>Joshua Im</v>
      </c>
      <c r="I134" s="20">
        <v>46054</v>
      </c>
      <c r="J134" s="20">
        <v>46264</v>
      </c>
      <c r="K134" s="16">
        <v>0.3</v>
      </c>
      <c r="L134" s="16">
        <v>0.3</v>
      </c>
      <c r="M134" s="16">
        <v>0.3</v>
      </c>
      <c r="N134" s="16">
        <v>0.2</v>
      </c>
      <c r="O134" s="16">
        <v>0.2</v>
      </c>
      <c r="P134" s="16">
        <v>0.2</v>
      </c>
      <c r="Q134" s="16">
        <v>0.2</v>
      </c>
      <c r="R134" s="16">
        <v>0.2</v>
      </c>
      <c r="S134" s="16">
        <v>0.2</v>
      </c>
      <c r="T134" s="16">
        <v>0.2</v>
      </c>
      <c r="U134" s="16">
        <v>0.2</v>
      </c>
      <c r="V134" s="16">
        <v>0.2</v>
      </c>
      <c r="W134" s="16">
        <v>0.2</v>
      </c>
      <c r="X134" s="16">
        <v>0.2</v>
      </c>
      <c r="Y134" s="16">
        <v>0.2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</row>
    <row r="135" spans="1:53">
      <c r="A135">
        <v>29</v>
      </c>
      <c r="B135" t="str">
        <v>Active</v>
      </c>
      <c r="C135" t="str">
        <v>Active</v>
      </c>
      <c r="D135" t="str">
        <v>Tumalo Ph1</v>
      </c>
      <c r="E135" t="str">
        <v>Control Eng.</v>
      </c>
      <c r="F135" t="str">
        <v>Electrical</v>
      </c>
      <c r="G135" t="str">
        <v>Electrical engineer</v>
      </c>
      <c r="H135" t="str">
        <v>May Kwon</v>
      </c>
      <c r="I135" s="20">
        <v>46054</v>
      </c>
      <c r="J135" s="20">
        <v>46264</v>
      </c>
      <c r="K135" s="16">
        <v>1</v>
      </c>
      <c r="L135" s="16">
        <v>1</v>
      </c>
      <c r="M135" s="16">
        <v>0.5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</row>
    <row r="136" spans="1:53">
      <c r="A136">
        <v>30</v>
      </c>
      <c r="B136" t="str">
        <v>Active</v>
      </c>
      <c r="C136" t="str">
        <v>Active</v>
      </c>
      <c r="D136" t="str">
        <v>Tumalo Ph1</v>
      </c>
      <c r="E136" t="str">
        <v>Control Eng.</v>
      </c>
      <c r="F136" t="str">
        <v>Electrical</v>
      </c>
      <c r="G136" t="str">
        <v>Electrical engineer</v>
      </c>
      <c r="H136" t="str">
        <v>Julia Mun</v>
      </c>
      <c r="I136" s="20">
        <v>46054</v>
      </c>
      <c r="J136" s="20">
        <v>46264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  <c r="R136" s="16">
        <v>1</v>
      </c>
      <c r="S136" s="16">
        <v>1</v>
      </c>
      <c r="T136" s="16">
        <v>1</v>
      </c>
      <c r="U136" s="16">
        <v>1</v>
      </c>
      <c r="V136" s="16">
        <v>1</v>
      </c>
      <c r="W136" s="16">
        <v>1</v>
      </c>
      <c r="X136" s="16">
        <v>1</v>
      </c>
      <c r="Y136" s="16">
        <v>1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</row>
    <row r="137" spans="1:53">
      <c r="A137">
        <v>31</v>
      </c>
      <c r="B137" t="str">
        <v>Active</v>
      </c>
      <c r="C137" t="str">
        <v>Active</v>
      </c>
      <c r="D137" t="str">
        <v>Tumalo Ph1</v>
      </c>
      <c r="E137" t="str">
        <v>Control Eng.</v>
      </c>
      <c r="F137" t="str">
        <v>Electrical</v>
      </c>
      <c r="G137" t="str">
        <v>Electrical engineer</v>
      </c>
      <c r="H137" t="str">
        <v>Andy Jang</v>
      </c>
      <c r="I137" s="20">
        <v>46054</v>
      </c>
      <c r="J137" s="20">
        <v>46264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</row>
    <row r="138" spans="1:53">
      <c r="A138">
        <v>32</v>
      </c>
      <c r="B138" t="str">
        <v>Active</v>
      </c>
      <c r="C138" t="str">
        <v>Active</v>
      </c>
      <c r="D138" t="str">
        <v>Tumalo Ph1</v>
      </c>
      <c r="E138">
        <v>0</v>
      </c>
      <c r="F138">
        <v>0</v>
      </c>
      <c r="G138">
        <v>0</v>
      </c>
      <c r="H138" t="str">
        <v>Gate Plan</v>
      </c>
      <c r="I138" s="20">
        <v>46054</v>
      </c>
      <c r="J138" s="20">
        <v>46264</v>
      </c>
      <c r="K138" s="16">
        <v>0</v>
      </c>
      <c r="L138" s="16">
        <v>0</v>
      </c>
      <c r="M138" s="16" t="str">
        <v>G4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 t="str">
        <v>G5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 t="str">
        <v>G6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</row>
    <row r="139" spans="1:53">
      <c r="A139">
        <v>1</v>
      </c>
      <c r="B139" t="str">
        <v>Active</v>
      </c>
      <c r="C139" t="str">
        <v>Active</v>
      </c>
      <c r="D139" t="str">
        <v>HRS Integrates</v>
      </c>
      <c r="E139" t="str">
        <v>PMO</v>
      </c>
      <c r="F139" t="str">
        <v>* Manager</v>
      </c>
      <c r="G139" t="str">
        <v>* Manager</v>
      </c>
      <c r="H139" t="str">
        <v>Jinney Lee</v>
      </c>
      <c r="I139" s="20">
        <v>46111</v>
      </c>
      <c r="J139" s="20">
        <v>46111</v>
      </c>
      <c r="K139" s="16">
        <v>0.1</v>
      </c>
      <c r="L139" s="16">
        <v>0.1</v>
      </c>
      <c r="M139" s="16">
        <v>0.1</v>
      </c>
      <c r="N139" s="16">
        <v>0.1</v>
      </c>
      <c r="O139" s="16">
        <v>0.1</v>
      </c>
      <c r="P139" s="16">
        <v>0.1</v>
      </c>
      <c r="Q139" s="16">
        <v>0.3</v>
      </c>
      <c r="R139" s="16">
        <v>0.1</v>
      </c>
      <c r="S139" s="16">
        <v>0.1</v>
      </c>
      <c r="T139" s="16">
        <v>0.1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</row>
    <row r="140" spans="1:53">
      <c r="A140">
        <v>2</v>
      </c>
      <c r="B140" t="str">
        <v>Active</v>
      </c>
      <c r="C140" t="str">
        <v>Active</v>
      </c>
      <c r="D140" t="str">
        <v>HRS Integrates</v>
      </c>
      <c r="E140" t="str">
        <v>PMO</v>
      </c>
      <c r="F140" t="str">
        <v>PM</v>
      </c>
      <c r="G140" t="str">
        <v>PM</v>
      </c>
      <c r="H140" t="str">
        <v>Eugene Lee</v>
      </c>
      <c r="I140" s="20">
        <v>46111</v>
      </c>
      <c r="J140" s="20">
        <v>46111</v>
      </c>
      <c r="K140" s="16">
        <v>0.1</v>
      </c>
      <c r="L140" s="16">
        <v>0.1</v>
      </c>
      <c r="M140" s="16">
        <v>0.1</v>
      </c>
      <c r="N140" s="16">
        <v>0.1</v>
      </c>
      <c r="O140" s="16">
        <v>0.1</v>
      </c>
      <c r="P140" s="16">
        <v>0.9</v>
      </c>
      <c r="Q140" s="16">
        <v>0.1</v>
      </c>
      <c r="R140" s="16">
        <v>0.1</v>
      </c>
      <c r="S140" s="16">
        <v>0.1</v>
      </c>
      <c r="T140" s="16">
        <v>0.1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</row>
    <row r="141" spans="1:53">
      <c r="A141">
        <v>3</v>
      </c>
      <c r="B141" t="str">
        <v>Active</v>
      </c>
      <c r="C141" t="str">
        <v>Active</v>
      </c>
      <c r="D141" t="str">
        <v>HRS Integrates</v>
      </c>
      <c r="E141" t="str">
        <v>NPI IS</v>
      </c>
      <c r="F141" t="str">
        <v>* Manager</v>
      </c>
      <c r="G141" t="str">
        <v>* Manager</v>
      </c>
      <c r="H141" t="str">
        <v>Dorothy Noh</v>
      </c>
      <c r="I141" s="20">
        <v>46111</v>
      </c>
      <c r="J141" s="20">
        <v>46111</v>
      </c>
      <c r="K141" s="16">
        <v>0.1</v>
      </c>
      <c r="L141" s="16">
        <v>0.1</v>
      </c>
      <c r="M141" s="16">
        <v>0.1</v>
      </c>
      <c r="N141" s="16">
        <v>0.1</v>
      </c>
      <c r="O141" s="16">
        <v>0.1</v>
      </c>
      <c r="P141" s="16">
        <v>0.1</v>
      </c>
      <c r="Q141" s="16">
        <v>0.3</v>
      </c>
      <c r="R141" s="16">
        <v>0.1</v>
      </c>
      <c r="S141" s="16">
        <v>0.1</v>
      </c>
      <c r="T141" s="16">
        <v>0.1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</row>
    <row r="142" spans="1:53">
      <c r="A142">
        <v>4</v>
      </c>
      <c r="B142" t="str">
        <v>Active</v>
      </c>
      <c r="C142" t="str">
        <v>Active</v>
      </c>
      <c r="D142" t="str">
        <v>HRS Integrates</v>
      </c>
      <c r="E142" t="str">
        <v>NPI IS</v>
      </c>
      <c r="F142" t="str">
        <v>System 2</v>
      </c>
      <c r="G142" t="str">
        <v>Tech Lead</v>
      </c>
      <c r="H142" t="str">
        <v>Chad Seo</v>
      </c>
      <c r="I142" s="20">
        <v>46111</v>
      </c>
      <c r="J142" s="20">
        <v>46111</v>
      </c>
      <c r="K142" s="16">
        <v>0.1</v>
      </c>
      <c r="L142" s="16">
        <v>0.1</v>
      </c>
      <c r="M142" s="16">
        <v>0.1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</row>
    <row r="143" spans="1:53">
      <c r="A143">
        <v>5</v>
      </c>
      <c r="B143" t="str">
        <v>Active</v>
      </c>
      <c r="C143" t="str">
        <v>Active</v>
      </c>
      <c r="D143" t="str">
        <v>HRS Integrates</v>
      </c>
      <c r="E143" t="str">
        <v>NPI IS</v>
      </c>
      <c r="F143" t="str">
        <v>System 3</v>
      </c>
      <c r="G143" t="str">
        <v>Tech Lead</v>
      </c>
      <c r="H143" t="str">
        <v>William Lee</v>
      </c>
      <c r="I143" s="20">
        <v>46111</v>
      </c>
      <c r="J143" s="20">
        <v>46111</v>
      </c>
      <c r="K143" s="16">
        <v>0.1</v>
      </c>
      <c r="L143" s="16">
        <v>0.1</v>
      </c>
      <c r="M143" s="16">
        <v>0.1</v>
      </c>
      <c r="N143" s="16">
        <v>0.1</v>
      </c>
      <c r="O143" s="16">
        <v>0.1</v>
      </c>
      <c r="P143" s="16">
        <v>0.1</v>
      </c>
      <c r="Q143" s="16">
        <v>0.1</v>
      </c>
      <c r="R143" s="16">
        <v>0.1</v>
      </c>
      <c r="S143" s="16">
        <v>0.1</v>
      </c>
      <c r="T143" s="16">
        <v>0.1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</row>
    <row r="144" spans="1:53">
      <c r="A144">
        <v>6</v>
      </c>
      <c r="B144" t="str">
        <v>Active</v>
      </c>
      <c r="C144" t="str">
        <v>Active</v>
      </c>
      <c r="D144" t="str">
        <v>HRS Integrates</v>
      </c>
      <c r="E144" t="str">
        <v>NPI IS</v>
      </c>
      <c r="F144" t="str">
        <v>System 2</v>
      </c>
      <c r="G144" t="str">
        <v>Tech Lead</v>
      </c>
      <c r="H144" t="str">
        <v>Emma Kim</v>
      </c>
      <c r="I144" s="20">
        <v>46111</v>
      </c>
      <c r="J144" s="20">
        <v>46111</v>
      </c>
      <c r="K144" s="16">
        <v>0</v>
      </c>
      <c r="L144" s="16">
        <v>0</v>
      </c>
      <c r="M144" s="16">
        <v>0</v>
      </c>
      <c r="N144" s="16">
        <v>0.3</v>
      </c>
      <c r="O144" s="16">
        <v>0.9</v>
      </c>
      <c r="P144" s="16">
        <v>0.9</v>
      </c>
      <c r="Q144" s="16">
        <v>0.5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</row>
    <row r="145" spans="1:53">
      <c r="A145">
        <v>7</v>
      </c>
      <c r="B145" t="str">
        <v>Active</v>
      </c>
      <c r="C145" t="str">
        <v>Active</v>
      </c>
      <c r="D145" t="str">
        <v>HRS Integrates</v>
      </c>
      <c r="E145" t="str">
        <v>NPI IS</v>
      </c>
      <c r="F145" t="str">
        <v>System 2</v>
      </c>
      <c r="G145" t="str">
        <v>Service engineer</v>
      </c>
      <c r="H145" t="str">
        <v>Sophie Kim</v>
      </c>
      <c r="I145" s="20">
        <v>46111</v>
      </c>
      <c r="J145" s="20">
        <v>46111</v>
      </c>
      <c r="K145" s="16">
        <v>0</v>
      </c>
      <c r="L145" s="16">
        <v>0</v>
      </c>
      <c r="M145" s="16">
        <v>0</v>
      </c>
      <c r="N145" s="16">
        <v>0.3</v>
      </c>
      <c r="O145" s="16">
        <v>1</v>
      </c>
      <c r="P145" s="16">
        <v>0.5</v>
      </c>
      <c r="Q145" s="16">
        <v>1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</row>
    <row r="146" spans="1:53">
      <c r="A146">
        <v>8</v>
      </c>
      <c r="B146" t="str">
        <v>Active</v>
      </c>
      <c r="C146" t="str">
        <v>Active</v>
      </c>
      <c r="D146" t="str">
        <v>HRS Integrates</v>
      </c>
      <c r="E146" t="str">
        <v>NPI IS</v>
      </c>
      <c r="F146" t="str">
        <v>System 2</v>
      </c>
      <c r="G146" t="str">
        <v>System engineer</v>
      </c>
      <c r="H146" t="str">
        <v>Kevin Ko</v>
      </c>
      <c r="I146" s="20">
        <v>0</v>
      </c>
      <c r="J146" s="20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1</v>
      </c>
      <c r="P146" s="16">
        <v>0.5</v>
      </c>
      <c r="Q146" s="16">
        <v>1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</row>
    <row r="147" spans="1:53">
      <c r="A147">
        <v>9</v>
      </c>
      <c r="B147" t="str">
        <v>Active</v>
      </c>
      <c r="C147" t="str">
        <v>Active</v>
      </c>
      <c r="D147" t="str">
        <v>HRS Integrates</v>
      </c>
      <c r="E147" t="str">
        <v>NPI IS</v>
      </c>
      <c r="F147" t="str">
        <v>Mechanical</v>
      </c>
      <c r="G147" t="str">
        <v>Mechanical engineer</v>
      </c>
      <c r="H147" t="str">
        <v>Jayden Lee</v>
      </c>
      <c r="I147" s="20">
        <v>46111</v>
      </c>
      <c r="J147" s="20">
        <v>46111</v>
      </c>
      <c r="K147" s="16">
        <v>0</v>
      </c>
      <c r="L147" s="16">
        <v>0</v>
      </c>
      <c r="M147" s="16">
        <v>0</v>
      </c>
      <c r="N147" s="16">
        <v>0.3</v>
      </c>
      <c r="O147" s="16">
        <v>0.5</v>
      </c>
      <c r="P147" s="16">
        <v>0.5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</row>
    <row r="148" spans="1:53">
      <c r="A148">
        <v>10</v>
      </c>
      <c r="B148" t="str">
        <v>Active</v>
      </c>
      <c r="C148" t="str">
        <v>Active</v>
      </c>
      <c r="D148" t="str">
        <v>HRS Integrates</v>
      </c>
      <c r="E148" t="str">
        <v>NPI IS</v>
      </c>
      <c r="F148" t="str">
        <v>Mechanical</v>
      </c>
      <c r="G148" t="str">
        <v>Mechanical engineer</v>
      </c>
      <c r="H148" t="str">
        <v>Sooyoung Song</v>
      </c>
      <c r="I148" s="20">
        <v>46111</v>
      </c>
      <c r="J148" s="20">
        <v>46111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1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</row>
    <row r="149" spans="1:53">
      <c r="A149">
        <v>11</v>
      </c>
      <c r="B149" t="str">
        <v>Active</v>
      </c>
      <c r="C149" t="str">
        <v>Active</v>
      </c>
      <c r="D149" t="str">
        <v>HRS Integrates</v>
      </c>
      <c r="E149" t="str">
        <v>Control Eng.</v>
      </c>
      <c r="F149" t="str">
        <v>Electrical</v>
      </c>
      <c r="G149" t="str">
        <v>Electrical engineer</v>
      </c>
      <c r="H149" t="str">
        <v>Dean Choi</v>
      </c>
      <c r="I149" s="20">
        <v>46111</v>
      </c>
      <c r="J149" s="20">
        <v>46111</v>
      </c>
      <c r="K149" s="16">
        <v>0</v>
      </c>
      <c r="L149" s="16">
        <v>0</v>
      </c>
      <c r="M149" s="16">
        <v>0</v>
      </c>
      <c r="N149" s="16">
        <v>0</v>
      </c>
      <c r="O149" s="16">
        <v>0.5</v>
      </c>
      <c r="P149" s="16">
        <v>0.5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</row>
    <row r="150" spans="1:53">
      <c r="A150">
        <v>12</v>
      </c>
      <c r="B150" t="str">
        <v>Active</v>
      </c>
      <c r="C150" t="str">
        <v>Active</v>
      </c>
      <c r="D150" t="str">
        <v>HRS Integrates</v>
      </c>
      <c r="E150" t="str">
        <v>Control Eng.</v>
      </c>
      <c r="F150" t="str">
        <v>Software</v>
      </c>
      <c r="G150" t="str">
        <v>SW test engineer</v>
      </c>
      <c r="H150" t="str">
        <v>Moonsu Cho</v>
      </c>
      <c r="I150" s="20">
        <v>46111</v>
      </c>
      <c r="J150" s="20">
        <v>46111</v>
      </c>
      <c r="K150" s="16">
        <v>0</v>
      </c>
      <c r="L150" s="16">
        <v>0</v>
      </c>
      <c r="M150" s="16">
        <v>0</v>
      </c>
      <c r="N150" s="16">
        <v>0</v>
      </c>
      <c r="O150" s="16">
        <v>0.5</v>
      </c>
      <c r="P150" s="16">
        <v>0.5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</row>
    <row r="151" spans="1:53">
      <c r="A151">
        <v>14</v>
      </c>
      <c r="B151" t="str">
        <v>Active</v>
      </c>
      <c r="C151" t="str">
        <v>Active</v>
      </c>
      <c r="D151" t="str">
        <v>HRS Integrates</v>
      </c>
      <c r="E151" t="str">
        <v>NPI IS</v>
      </c>
      <c r="F151" t="str">
        <v>System 2</v>
      </c>
      <c r="G151" t="str">
        <v>System engineer</v>
      </c>
      <c r="H151" t="str">
        <v>Harry Kwak</v>
      </c>
      <c r="I151" s="20">
        <v>0</v>
      </c>
      <c r="J151" s="20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0.5</v>
      </c>
      <c r="P151" s="16">
        <v>0.5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</row>
    <row r="152" spans="1:53">
      <c r="A152">
        <v>15</v>
      </c>
      <c r="B152" t="str">
        <v>Active</v>
      </c>
      <c r="C152" t="str">
        <v>Active</v>
      </c>
      <c r="D152" t="str">
        <v>HRS Integrates</v>
      </c>
      <c r="E152" t="str">
        <v>PMO</v>
      </c>
      <c r="F152" t="str">
        <v>PM</v>
      </c>
      <c r="G152" t="str">
        <v>PM</v>
      </c>
      <c r="H152" t="str">
        <v>Yuro Lee</v>
      </c>
      <c r="I152" s="20">
        <v>0</v>
      </c>
      <c r="J152" s="20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0.3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</row>
    <row r="153" spans="1:53">
      <c r="A153">
        <v>16</v>
      </c>
      <c r="B153" t="str">
        <v>Active</v>
      </c>
      <c r="C153" t="str">
        <v>Active</v>
      </c>
      <c r="D153" t="str">
        <v>HRS Integrates</v>
      </c>
      <c r="E153">
        <v>0</v>
      </c>
      <c r="F153">
        <v>0</v>
      </c>
      <c r="G153">
        <v>0</v>
      </c>
      <c r="H153" t="str">
        <v>Gate Plan</v>
      </c>
      <c r="I153" s="20">
        <v>46111</v>
      </c>
      <c r="J153" s="20">
        <v>46111</v>
      </c>
      <c r="K153" s="16" t="str">
        <v>G2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 t="str">
        <v>G5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 t="str">
        <v>G5</v>
      </c>
      <c r="AC153" s="16">
        <v>0</v>
      </c>
      <c r="AD153" s="16">
        <v>0</v>
      </c>
      <c r="AE153" s="16">
        <v>0</v>
      </c>
      <c r="AF153" s="16" t="str">
        <v>G6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</row>
    <row r="154" spans="1:53">
      <c r="A154">
        <v>1</v>
      </c>
      <c r="B154" t="str">
        <v>Active</v>
      </c>
      <c r="C154" t="str">
        <v>Active</v>
      </c>
      <c r="D154" t="str">
        <v>HRS</v>
      </c>
      <c r="E154" t="str">
        <v>Engineering</v>
      </c>
      <c r="F154" t="str">
        <v>* Manager</v>
      </c>
      <c r="G154" t="str">
        <v>* Eng Manager</v>
      </c>
      <c r="H154" t="str">
        <v>JiYoung Son</v>
      </c>
      <c r="I154" s="20">
        <v>0</v>
      </c>
      <c r="J154" s="20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0.1</v>
      </c>
      <c r="S154" s="16">
        <v>0.1</v>
      </c>
      <c r="T154" s="16">
        <v>0.1</v>
      </c>
      <c r="U154" s="16">
        <v>0.1</v>
      </c>
      <c r="V154" s="16">
        <v>0.1</v>
      </c>
      <c r="W154" s="16">
        <v>0.1</v>
      </c>
      <c r="X154" s="16">
        <v>0.1</v>
      </c>
      <c r="Y154" s="16">
        <v>0.1</v>
      </c>
      <c r="Z154" s="16">
        <v>0.1</v>
      </c>
      <c r="AA154" s="16">
        <v>0.1</v>
      </c>
      <c r="AB154" s="16">
        <v>0.1</v>
      </c>
      <c r="AC154" s="16">
        <v>0.1</v>
      </c>
      <c r="AD154" s="16">
        <v>0.1</v>
      </c>
      <c r="AE154" s="16">
        <v>0.1</v>
      </c>
      <c r="AF154" s="16">
        <v>0.1</v>
      </c>
      <c r="AG154" s="16">
        <v>0.1</v>
      </c>
      <c r="AH154" s="16">
        <v>0.1</v>
      </c>
      <c r="AI154" s="16">
        <v>0.1</v>
      </c>
      <c r="AJ154" s="16">
        <v>0.1</v>
      </c>
      <c r="AK154" s="16">
        <v>0.1</v>
      </c>
      <c r="AL154" s="16">
        <v>0.1</v>
      </c>
      <c r="AM154" s="16">
        <v>0.1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</row>
    <row r="155" spans="1:53">
      <c r="A155">
        <v>2</v>
      </c>
      <c r="B155" t="str">
        <v>Active</v>
      </c>
      <c r="C155" t="str">
        <v>Active</v>
      </c>
      <c r="D155" t="str">
        <v>HRS</v>
      </c>
      <c r="E155" t="str">
        <v>PMO</v>
      </c>
      <c r="F155" t="str">
        <v>* Manager</v>
      </c>
      <c r="G155" t="str">
        <v>* Manager</v>
      </c>
      <c r="H155" t="str">
        <v>Jinney Lee</v>
      </c>
      <c r="I155" s="20">
        <v>0</v>
      </c>
      <c r="J155" s="20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0.2</v>
      </c>
      <c r="S155" s="16">
        <v>0.2</v>
      </c>
      <c r="T155" s="16">
        <v>0.2</v>
      </c>
      <c r="U155" s="16">
        <v>0.1</v>
      </c>
      <c r="V155" s="16">
        <v>0.1</v>
      </c>
      <c r="W155" s="16">
        <v>0.1</v>
      </c>
      <c r="X155" s="16">
        <v>0.1</v>
      </c>
      <c r="Y155" s="16">
        <v>0.1</v>
      </c>
      <c r="Z155" s="16">
        <v>0.1</v>
      </c>
      <c r="AA155" s="16">
        <v>0.1</v>
      </c>
      <c r="AB155" s="16">
        <v>0.1</v>
      </c>
      <c r="AC155" s="16">
        <v>0.1</v>
      </c>
      <c r="AD155" s="16">
        <v>0.1</v>
      </c>
      <c r="AE155" s="16">
        <v>0.1</v>
      </c>
      <c r="AF155" s="16">
        <v>0.1</v>
      </c>
      <c r="AG155" s="16">
        <v>0.1</v>
      </c>
      <c r="AH155" s="16">
        <v>0.1</v>
      </c>
      <c r="AI155" s="16">
        <v>0.1</v>
      </c>
      <c r="AJ155" s="16">
        <v>0.1</v>
      </c>
      <c r="AK155" s="16">
        <v>0.1</v>
      </c>
      <c r="AL155" s="16">
        <v>0.1</v>
      </c>
      <c r="AM155" s="16">
        <v>0.1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</row>
    <row r="156" spans="1:53">
      <c r="A156">
        <v>3</v>
      </c>
      <c r="B156" t="str">
        <v>Active</v>
      </c>
      <c r="C156" t="str">
        <v>Active</v>
      </c>
      <c r="D156" t="str">
        <v>HRS</v>
      </c>
      <c r="E156" t="str">
        <v>PMO</v>
      </c>
      <c r="F156" t="str">
        <v>PM</v>
      </c>
      <c r="G156" t="str">
        <v>PM</v>
      </c>
      <c r="H156" t="str">
        <v>Project manager</v>
      </c>
      <c r="I156" s="20">
        <v>0</v>
      </c>
      <c r="J156" s="20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1</v>
      </c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16">
        <v>1</v>
      </c>
      <c r="Y156" s="16">
        <v>1</v>
      </c>
      <c r="Z156" s="16">
        <v>1</v>
      </c>
      <c r="AA156" s="16">
        <v>1</v>
      </c>
      <c r="AB156" s="16">
        <v>1</v>
      </c>
      <c r="AC156" s="16">
        <v>1</v>
      </c>
      <c r="AD156" s="16">
        <v>1</v>
      </c>
      <c r="AE156" s="16">
        <v>1</v>
      </c>
      <c r="AF156" s="16">
        <v>1</v>
      </c>
      <c r="AG156" s="16">
        <v>1</v>
      </c>
      <c r="AH156" s="16">
        <v>1</v>
      </c>
      <c r="AI156" s="16">
        <v>1</v>
      </c>
      <c r="AJ156" s="16">
        <v>0.5</v>
      </c>
      <c r="AK156" s="16">
        <v>0.5</v>
      </c>
      <c r="AL156" s="16">
        <v>0.5</v>
      </c>
      <c r="AM156" s="16">
        <v>0.5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</row>
    <row r="157" spans="1:53">
      <c r="A157">
        <v>4</v>
      </c>
      <c r="B157" t="str">
        <v>Active</v>
      </c>
      <c r="C157" t="str">
        <v>Active</v>
      </c>
      <c r="D157" t="str">
        <v>HRS</v>
      </c>
      <c r="E157" t="str">
        <v>NPI IS</v>
      </c>
      <c r="F157" t="str">
        <v>* Manager</v>
      </c>
      <c r="G157" t="str">
        <v>* Manager</v>
      </c>
      <c r="H157" t="str">
        <v>Dorothy Noh</v>
      </c>
      <c r="I157" s="20">
        <v>0</v>
      </c>
      <c r="J157" s="20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0.2</v>
      </c>
      <c r="S157" s="16">
        <v>0.2</v>
      </c>
      <c r="T157" s="16">
        <v>0.2</v>
      </c>
      <c r="U157" s="16">
        <v>0.1</v>
      </c>
      <c r="V157" s="16">
        <v>0.1</v>
      </c>
      <c r="W157" s="16">
        <v>0.1</v>
      </c>
      <c r="X157" s="16">
        <v>0.1</v>
      </c>
      <c r="Y157" s="16">
        <v>0.1</v>
      </c>
      <c r="Z157" s="16">
        <v>0.1</v>
      </c>
      <c r="AA157" s="16">
        <v>0.1</v>
      </c>
      <c r="AB157" s="16">
        <v>0.1</v>
      </c>
      <c r="AC157" s="16">
        <v>0.1</v>
      </c>
      <c r="AD157" s="16">
        <v>0.1</v>
      </c>
      <c r="AE157" s="16">
        <v>0.1</v>
      </c>
      <c r="AF157" s="16">
        <v>0.1</v>
      </c>
      <c r="AG157" s="16">
        <v>0.1</v>
      </c>
      <c r="AH157" s="16">
        <v>0.1</v>
      </c>
      <c r="AI157" s="16">
        <v>0.1</v>
      </c>
      <c r="AJ157" s="16">
        <v>0.1</v>
      </c>
      <c r="AK157" s="16">
        <v>0.1</v>
      </c>
      <c r="AL157" s="16">
        <v>0.1</v>
      </c>
      <c r="AM157" s="16">
        <v>0.1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</row>
    <row r="158" spans="1:53">
      <c r="A158">
        <v>5</v>
      </c>
      <c r="B158" t="str">
        <v>Active</v>
      </c>
      <c r="C158" t="str">
        <v>Active</v>
      </c>
      <c r="D158" t="str">
        <v>HRS</v>
      </c>
      <c r="E158" t="str">
        <v>NPI IS</v>
      </c>
      <c r="F158" t="str">
        <v>System 2</v>
      </c>
      <c r="G158" t="str">
        <v>Tech Lead</v>
      </c>
      <c r="H158" t="str">
        <v>Emma Kim</v>
      </c>
      <c r="I158" s="20">
        <v>0</v>
      </c>
      <c r="J158" s="20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0.5</v>
      </c>
      <c r="R158" s="16">
        <v>1</v>
      </c>
      <c r="S158" s="16">
        <v>1</v>
      </c>
      <c r="T158" s="16">
        <v>1</v>
      </c>
      <c r="U158" s="16">
        <v>1</v>
      </c>
      <c r="V158" s="16">
        <v>1</v>
      </c>
      <c r="W158" s="16">
        <v>1</v>
      </c>
      <c r="X158" s="16">
        <v>1</v>
      </c>
      <c r="Y158" s="16">
        <v>1</v>
      </c>
      <c r="Z158" s="16">
        <v>1</v>
      </c>
      <c r="AA158" s="16">
        <v>1</v>
      </c>
      <c r="AB158" s="16">
        <v>1</v>
      </c>
      <c r="AC158" s="16">
        <v>1</v>
      </c>
      <c r="AD158" s="16">
        <v>1</v>
      </c>
      <c r="AE158" s="16">
        <v>1</v>
      </c>
      <c r="AF158" s="16">
        <v>1</v>
      </c>
      <c r="AG158" s="16">
        <v>1</v>
      </c>
      <c r="AH158" s="16">
        <v>1</v>
      </c>
      <c r="AI158" s="16">
        <v>1</v>
      </c>
      <c r="AJ158" s="16">
        <v>0.5</v>
      </c>
      <c r="AK158" s="16">
        <v>0.5</v>
      </c>
      <c r="AL158" s="16">
        <v>0.5</v>
      </c>
      <c r="AM158" s="16">
        <v>0.5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</row>
    <row r="159" spans="1:53">
      <c r="A159">
        <v>6</v>
      </c>
      <c r="B159" t="str">
        <v>Active</v>
      </c>
      <c r="C159" t="str">
        <v>Active</v>
      </c>
      <c r="D159" t="str">
        <v>HRS</v>
      </c>
      <c r="E159" t="str">
        <v>NPI IS</v>
      </c>
      <c r="F159" t="str">
        <v>System 2</v>
      </c>
      <c r="G159" t="str">
        <v>System engineer</v>
      </c>
      <c r="H159" t="str">
        <v>Kevin Ko</v>
      </c>
      <c r="I159" s="20">
        <v>0</v>
      </c>
      <c r="J159" s="20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1</v>
      </c>
      <c r="S159" s="16">
        <v>1</v>
      </c>
      <c r="T159" s="16">
        <v>1</v>
      </c>
      <c r="U159" s="16">
        <v>1</v>
      </c>
      <c r="V159" s="16">
        <v>1</v>
      </c>
      <c r="W159" s="16">
        <v>1</v>
      </c>
      <c r="X159" s="16">
        <v>1</v>
      </c>
      <c r="Y159" s="16">
        <v>1</v>
      </c>
      <c r="Z159" s="16">
        <v>1</v>
      </c>
      <c r="AA159" s="16">
        <v>1</v>
      </c>
      <c r="AB159" s="16">
        <v>1</v>
      </c>
      <c r="AC159" s="16">
        <v>1</v>
      </c>
      <c r="AD159" s="16">
        <v>1</v>
      </c>
      <c r="AE159" s="16">
        <v>1</v>
      </c>
      <c r="AF159" s="16">
        <v>1</v>
      </c>
      <c r="AG159" s="16">
        <v>1</v>
      </c>
      <c r="AH159" s="16">
        <v>1</v>
      </c>
      <c r="AI159" s="16">
        <v>1</v>
      </c>
      <c r="AJ159" s="16">
        <v>1</v>
      </c>
      <c r="AK159" s="16">
        <v>1</v>
      </c>
      <c r="AL159" s="16">
        <v>1</v>
      </c>
      <c r="AM159" s="16">
        <v>1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</row>
    <row r="160" spans="1:53">
      <c r="A160">
        <v>7</v>
      </c>
      <c r="B160" t="str">
        <v>Active</v>
      </c>
      <c r="C160" t="str">
        <v>Active</v>
      </c>
      <c r="D160" t="str">
        <v>HRS</v>
      </c>
      <c r="E160" t="str">
        <v>NPI IS</v>
      </c>
      <c r="F160" t="str">
        <v>System 1</v>
      </c>
      <c r="G160" t="str">
        <v>System engineer</v>
      </c>
      <c r="H160" t="str">
        <v>Chloe Jeong</v>
      </c>
      <c r="I160" s="20">
        <v>0</v>
      </c>
      <c r="J160" s="20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1</v>
      </c>
      <c r="Z160" s="16">
        <v>1</v>
      </c>
      <c r="AA160" s="16">
        <v>1</v>
      </c>
      <c r="AB160" s="16">
        <v>1</v>
      </c>
      <c r="AC160" s="16">
        <v>1</v>
      </c>
      <c r="AD160" s="16">
        <v>1</v>
      </c>
      <c r="AE160" s="16">
        <v>1</v>
      </c>
      <c r="AF160" s="16">
        <v>1</v>
      </c>
      <c r="AG160" s="16">
        <v>1</v>
      </c>
      <c r="AH160" s="16">
        <v>1</v>
      </c>
      <c r="AI160" s="16">
        <v>1</v>
      </c>
      <c r="AJ160" s="16">
        <v>0.5</v>
      </c>
      <c r="AK160" s="16">
        <v>0.5</v>
      </c>
      <c r="AL160" s="16">
        <v>0.5</v>
      </c>
      <c r="AM160" s="16">
        <v>0.5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</row>
    <row r="161" spans="1:53">
      <c r="A161">
        <v>8</v>
      </c>
      <c r="B161" t="str">
        <v>Active</v>
      </c>
      <c r="C161" t="str">
        <v>Active</v>
      </c>
      <c r="D161" t="str">
        <v>HRS</v>
      </c>
      <c r="E161" t="str">
        <v>NPI IS</v>
      </c>
      <c r="F161" t="str">
        <v>System 2</v>
      </c>
      <c r="G161" t="str">
        <v>Service engineer</v>
      </c>
      <c r="H161" t="str">
        <v>Sophie Kim</v>
      </c>
      <c r="I161" s="20">
        <v>0</v>
      </c>
      <c r="J161" s="20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1</v>
      </c>
      <c r="S161" s="16">
        <v>1</v>
      </c>
      <c r="T161" s="16">
        <v>1</v>
      </c>
      <c r="U161" s="16">
        <v>1</v>
      </c>
      <c r="V161" s="16">
        <v>1</v>
      </c>
      <c r="W161" s="16">
        <v>1</v>
      </c>
      <c r="X161" s="16">
        <v>1</v>
      </c>
      <c r="Y161" s="16">
        <v>1</v>
      </c>
      <c r="Z161" s="16">
        <v>1</v>
      </c>
      <c r="AA161" s="16">
        <v>1</v>
      </c>
      <c r="AB161" s="16">
        <v>1</v>
      </c>
      <c r="AC161" s="16">
        <v>1</v>
      </c>
      <c r="AD161" s="16">
        <v>1</v>
      </c>
      <c r="AE161" s="16">
        <v>1</v>
      </c>
      <c r="AF161" s="16">
        <v>1</v>
      </c>
      <c r="AG161" s="16">
        <v>1</v>
      </c>
      <c r="AH161" s="16">
        <v>1</v>
      </c>
      <c r="AI161" s="16">
        <v>1</v>
      </c>
      <c r="AJ161" s="16">
        <v>1</v>
      </c>
      <c r="AK161" s="16">
        <v>1</v>
      </c>
      <c r="AL161" s="16">
        <v>1</v>
      </c>
      <c r="AM161" s="16">
        <v>1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</row>
    <row r="162" spans="1:53">
      <c r="A162">
        <v>9</v>
      </c>
      <c r="B162" t="str">
        <v>Active</v>
      </c>
      <c r="C162" t="str">
        <v>Active</v>
      </c>
      <c r="D162" t="str">
        <v>HRS</v>
      </c>
      <c r="E162" t="str">
        <v>NPI IS</v>
      </c>
      <c r="F162">
        <v>0</v>
      </c>
      <c r="G162" t="str">
        <v>Service engineer</v>
      </c>
      <c r="H162" t="str">
        <v>Service engineer</v>
      </c>
      <c r="I162" s="20">
        <v>0</v>
      </c>
      <c r="J162" s="20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</v>
      </c>
      <c r="S162" s="16">
        <v>1</v>
      </c>
      <c r="T162" s="16">
        <v>1</v>
      </c>
      <c r="U162" s="16">
        <v>1</v>
      </c>
      <c r="V162" s="16">
        <v>1</v>
      </c>
      <c r="W162" s="16">
        <v>1</v>
      </c>
      <c r="X162" s="16">
        <v>1</v>
      </c>
      <c r="Y162" s="16">
        <v>1</v>
      </c>
      <c r="Z162" s="16">
        <v>1</v>
      </c>
      <c r="AA162" s="16">
        <v>1</v>
      </c>
      <c r="AB162" s="16">
        <v>1</v>
      </c>
      <c r="AC162" s="16">
        <v>1</v>
      </c>
      <c r="AD162" s="16">
        <v>1</v>
      </c>
      <c r="AE162" s="16">
        <v>1</v>
      </c>
      <c r="AF162" s="16">
        <v>1</v>
      </c>
      <c r="AG162" s="16">
        <v>1</v>
      </c>
      <c r="AH162" s="16">
        <v>1</v>
      </c>
      <c r="AI162" s="16">
        <v>1</v>
      </c>
      <c r="AJ162" s="16">
        <v>1</v>
      </c>
      <c r="AK162" s="16">
        <v>1</v>
      </c>
      <c r="AL162" s="16">
        <v>1</v>
      </c>
      <c r="AM162" s="16">
        <v>1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</row>
    <row r="163" spans="1:53">
      <c r="A163">
        <v>10</v>
      </c>
      <c r="B163" t="str">
        <v>Active</v>
      </c>
      <c r="C163" t="str">
        <v>Active</v>
      </c>
      <c r="D163" t="str">
        <v>HRS</v>
      </c>
      <c r="E163" t="str">
        <v>NPI IS</v>
      </c>
      <c r="F163" t="str">
        <v>Mechanical</v>
      </c>
      <c r="G163" t="str">
        <v>Leader</v>
      </c>
      <c r="H163" t="str">
        <v>Jeremy Park</v>
      </c>
      <c r="I163" s="20">
        <v>0</v>
      </c>
      <c r="J163" s="20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0.2</v>
      </c>
      <c r="R163" s="16">
        <v>0.2</v>
      </c>
      <c r="S163" s="16">
        <v>0.2</v>
      </c>
      <c r="T163" s="16">
        <v>0.2</v>
      </c>
      <c r="U163" s="16">
        <v>0.1</v>
      </c>
      <c r="V163" s="16">
        <v>0.1</v>
      </c>
      <c r="W163" s="16">
        <v>0.1</v>
      </c>
      <c r="X163" s="16">
        <v>0.1</v>
      </c>
      <c r="Y163" s="16">
        <v>0.1</v>
      </c>
      <c r="Z163" s="16">
        <v>0.1</v>
      </c>
      <c r="AA163" s="16">
        <v>0.1</v>
      </c>
      <c r="AB163" s="16">
        <v>0.1</v>
      </c>
      <c r="AC163" s="16">
        <v>0.1</v>
      </c>
      <c r="AD163" s="16">
        <v>0.1</v>
      </c>
      <c r="AE163" s="16">
        <v>0.1</v>
      </c>
      <c r="AF163" s="16">
        <v>0.1</v>
      </c>
      <c r="AG163" s="16">
        <v>0.1</v>
      </c>
      <c r="AH163" s="16">
        <v>0.1</v>
      </c>
      <c r="AI163" s="16">
        <v>0.1</v>
      </c>
      <c r="AJ163" s="16">
        <v>0.1</v>
      </c>
      <c r="AK163" s="16">
        <v>0.1</v>
      </c>
      <c r="AL163" s="16">
        <v>0.1</v>
      </c>
      <c r="AM163" s="16">
        <v>0.1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</row>
    <row r="164" spans="1:53">
      <c r="A164">
        <v>11</v>
      </c>
      <c r="B164" t="str">
        <v>Active</v>
      </c>
      <c r="C164" t="str">
        <v>Active</v>
      </c>
      <c r="D164" t="str">
        <v>HRS</v>
      </c>
      <c r="E164" t="str">
        <v>NPI IS</v>
      </c>
      <c r="F164" t="str">
        <v>Mechanical</v>
      </c>
      <c r="G164" t="str">
        <v>Mechanical engineer</v>
      </c>
      <c r="H164" t="str">
        <v>Mechanical engineer</v>
      </c>
      <c r="I164" s="20">
        <v>0</v>
      </c>
      <c r="J164" s="20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0.5</v>
      </c>
      <c r="R164" s="16">
        <v>1</v>
      </c>
      <c r="S164" s="16">
        <v>1</v>
      </c>
      <c r="T164" s="16">
        <v>1</v>
      </c>
      <c r="U164" s="16">
        <v>1</v>
      </c>
      <c r="V164" s="16">
        <v>1</v>
      </c>
      <c r="W164" s="16">
        <v>1</v>
      </c>
      <c r="X164" s="16">
        <v>1</v>
      </c>
      <c r="Y164" s="16">
        <v>1</v>
      </c>
      <c r="Z164" s="16">
        <v>1</v>
      </c>
      <c r="AA164" s="16">
        <v>1</v>
      </c>
      <c r="AB164" s="16">
        <v>1</v>
      </c>
      <c r="AC164" s="16">
        <v>1</v>
      </c>
      <c r="AD164" s="16">
        <v>1</v>
      </c>
      <c r="AE164" s="16">
        <v>1</v>
      </c>
      <c r="AF164" s="16">
        <v>1</v>
      </c>
      <c r="AG164" s="16">
        <v>1</v>
      </c>
      <c r="AH164" s="16">
        <v>1</v>
      </c>
      <c r="AI164" s="16">
        <v>1</v>
      </c>
      <c r="AJ164" s="16">
        <v>1</v>
      </c>
      <c r="AK164" s="16">
        <v>1</v>
      </c>
      <c r="AL164" s="16">
        <v>1</v>
      </c>
      <c r="AM164" s="16">
        <v>1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</row>
    <row r="165" spans="1:53">
      <c r="A165">
        <v>12</v>
      </c>
      <c r="B165" t="str">
        <v>Active</v>
      </c>
      <c r="C165" t="str">
        <v>Active</v>
      </c>
      <c r="D165" t="str">
        <v>HRS</v>
      </c>
      <c r="E165" t="str">
        <v>NPI IS</v>
      </c>
      <c r="F165" t="str">
        <v>Mechanical</v>
      </c>
      <c r="G165" t="str">
        <v>Mechanical engineer</v>
      </c>
      <c r="H165" t="str">
        <v>Sooyoung Song</v>
      </c>
      <c r="I165" s="20">
        <v>0</v>
      </c>
      <c r="J165" s="20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0.5</v>
      </c>
      <c r="R165" s="16">
        <v>1</v>
      </c>
      <c r="S165" s="16">
        <v>1</v>
      </c>
      <c r="T165" s="16">
        <v>1</v>
      </c>
      <c r="U165" s="16">
        <v>1</v>
      </c>
      <c r="V165" s="16">
        <v>1</v>
      </c>
      <c r="W165" s="16">
        <v>1</v>
      </c>
      <c r="X165" s="16">
        <v>1</v>
      </c>
      <c r="Y165" s="16">
        <v>1</v>
      </c>
      <c r="Z165" s="16">
        <v>1</v>
      </c>
      <c r="AA165" s="16">
        <v>1</v>
      </c>
      <c r="AB165" s="16">
        <v>1</v>
      </c>
      <c r="AC165" s="16">
        <v>1</v>
      </c>
      <c r="AD165" s="16">
        <v>1</v>
      </c>
      <c r="AE165" s="16">
        <v>1</v>
      </c>
      <c r="AF165" s="16">
        <v>1</v>
      </c>
      <c r="AG165" s="16">
        <v>1</v>
      </c>
      <c r="AH165" s="16">
        <v>1</v>
      </c>
      <c r="AI165" s="16">
        <v>1</v>
      </c>
      <c r="AJ165" s="16">
        <v>1</v>
      </c>
      <c r="AK165" s="16">
        <v>1</v>
      </c>
      <c r="AL165" s="16">
        <v>1</v>
      </c>
      <c r="AM165" s="16">
        <v>1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</row>
    <row r="166" spans="1:53">
      <c r="A166">
        <v>13</v>
      </c>
      <c r="B166" t="str">
        <v>Active</v>
      </c>
      <c r="C166" t="str">
        <v>Active</v>
      </c>
      <c r="D166" t="str">
        <v>HRS</v>
      </c>
      <c r="E166" t="str">
        <v>NPI IS</v>
      </c>
      <c r="F166" t="str">
        <v>Mechanical</v>
      </c>
      <c r="G166" t="str">
        <v>Mechanical engineer</v>
      </c>
      <c r="H166" t="str">
        <v>Jiny Park</v>
      </c>
      <c r="I166" s="20">
        <v>0</v>
      </c>
      <c r="J166" s="20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0.5</v>
      </c>
      <c r="R166" s="16">
        <v>1</v>
      </c>
      <c r="S166" s="16">
        <v>0.5</v>
      </c>
      <c r="T166" s="16">
        <v>0.5</v>
      </c>
      <c r="U166" s="16">
        <v>1</v>
      </c>
      <c r="V166" s="16">
        <v>1</v>
      </c>
      <c r="W166" s="16">
        <v>1</v>
      </c>
      <c r="X166" s="16">
        <v>1</v>
      </c>
      <c r="Y166" s="16">
        <v>1</v>
      </c>
      <c r="Z166" s="16">
        <v>1</v>
      </c>
      <c r="AA166" s="16">
        <v>1</v>
      </c>
      <c r="AB166" s="16">
        <v>1</v>
      </c>
      <c r="AC166" s="16">
        <v>1</v>
      </c>
      <c r="AD166" s="16">
        <v>1</v>
      </c>
      <c r="AE166" s="16">
        <v>1</v>
      </c>
      <c r="AF166" s="16">
        <v>1</v>
      </c>
      <c r="AG166" s="16">
        <v>1</v>
      </c>
      <c r="AH166" s="16">
        <v>1</v>
      </c>
      <c r="AI166" s="16">
        <v>1</v>
      </c>
      <c r="AJ166" s="16">
        <v>0.5</v>
      </c>
      <c r="AK166" s="16">
        <v>0.5</v>
      </c>
      <c r="AL166" s="16">
        <v>0.5</v>
      </c>
      <c r="AM166" s="16">
        <v>0.5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</row>
    <row r="167" spans="1:53">
      <c r="A167">
        <v>14</v>
      </c>
      <c r="B167" t="str">
        <v>Active</v>
      </c>
      <c r="C167" t="str">
        <v>Active</v>
      </c>
      <c r="D167" t="str">
        <v>HRS</v>
      </c>
      <c r="E167" t="str">
        <v>Control Eng.</v>
      </c>
      <c r="F167" t="str">
        <v>* Manager</v>
      </c>
      <c r="G167" t="str">
        <v>* Manager</v>
      </c>
      <c r="H167" t="str">
        <v>Mogen Seo</v>
      </c>
      <c r="I167" s="20">
        <v>0</v>
      </c>
      <c r="J167" s="20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0.1</v>
      </c>
      <c r="S167" s="16">
        <v>0.1</v>
      </c>
      <c r="T167" s="16">
        <v>0.1</v>
      </c>
      <c r="U167" s="16">
        <v>0.1</v>
      </c>
      <c r="V167" s="16">
        <v>0.1</v>
      </c>
      <c r="W167" s="16">
        <v>0.1</v>
      </c>
      <c r="X167" s="16">
        <v>0.1</v>
      </c>
      <c r="Y167" s="16">
        <v>0.1</v>
      </c>
      <c r="Z167" s="16">
        <v>0.1</v>
      </c>
      <c r="AA167" s="16">
        <v>0.1</v>
      </c>
      <c r="AB167" s="16">
        <v>0.1</v>
      </c>
      <c r="AC167" s="16">
        <v>0.1</v>
      </c>
      <c r="AD167" s="16">
        <v>0.1</v>
      </c>
      <c r="AE167" s="16">
        <v>0.1</v>
      </c>
      <c r="AF167" s="16">
        <v>0.1</v>
      </c>
      <c r="AG167" s="16">
        <v>0.1</v>
      </c>
      <c r="AH167" s="16">
        <v>0.1</v>
      </c>
      <c r="AI167" s="16">
        <v>0.1</v>
      </c>
      <c r="AJ167" s="16">
        <v>0.1</v>
      </c>
      <c r="AK167" s="16">
        <v>0.1</v>
      </c>
      <c r="AL167" s="16">
        <v>0.1</v>
      </c>
      <c r="AM167" s="16">
        <v>0.1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</row>
    <row r="168" spans="1:53">
      <c r="A168">
        <v>15</v>
      </c>
      <c r="B168" t="str">
        <v>Active</v>
      </c>
      <c r="C168" t="str">
        <v>Active</v>
      </c>
      <c r="D168" t="str">
        <v>HRS</v>
      </c>
      <c r="E168" t="str">
        <v>Control Eng.</v>
      </c>
      <c r="F168" t="str">
        <v>Software</v>
      </c>
      <c r="G168" t="str">
        <v>Leader</v>
      </c>
      <c r="H168" t="str">
        <v>Gerald Park</v>
      </c>
      <c r="I168" s="20">
        <v>0</v>
      </c>
      <c r="J168" s="20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0.2</v>
      </c>
      <c r="S168" s="16">
        <v>0.2</v>
      </c>
      <c r="T168" s="16">
        <v>0.2</v>
      </c>
      <c r="U168" s="16">
        <v>0.1</v>
      </c>
      <c r="V168" s="16">
        <v>0.1</v>
      </c>
      <c r="W168" s="16">
        <v>0.1</v>
      </c>
      <c r="X168" s="16">
        <v>0.1</v>
      </c>
      <c r="Y168" s="16">
        <v>0.1</v>
      </c>
      <c r="Z168" s="16">
        <v>0.1</v>
      </c>
      <c r="AA168" s="16">
        <v>0.1</v>
      </c>
      <c r="AB168" s="16">
        <v>0.1</v>
      </c>
      <c r="AC168" s="16">
        <v>0.1</v>
      </c>
      <c r="AD168" s="16">
        <v>0.1</v>
      </c>
      <c r="AE168" s="16">
        <v>0.1</v>
      </c>
      <c r="AF168" s="16">
        <v>0.1</v>
      </c>
      <c r="AG168" s="16">
        <v>0.1</v>
      </c>
      <c r="AH168" s="16">
        <v>0.1</v>
      </c>
      <c r="AI168" s="16">
        <v>0.1</v>
      </c>
      <c r="AJ168" s="16">
        <v>0.1</v>
      </c>
      <c r="AK168" s="16">
        <v>0.1</v>
      </c>
      <c r="AL168" s="16">
        <v>0.1</v>
      </c>
      <c r="AM168" s="16">
        <v>0.1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</row>
    <row r="169" spans="1:53">
      <c r="A169">
        <v>16</v>
      </c>
      <c r="B169" t="str">
        <v>Active</v>
      </c>
      <c r="C169" t="str">
        <v>Active</v>
      </c>
      <c r="D169" t="str">
        <v>HRS</v>
      </c>
      <c r="E169" t="str">
        <v>Control Eng.</v>
      </c>
      <c r="F169" t="str">
        <v>Software</v>
      </c>
      <c r="G169" t="str">
        <v>Software engineer</v>
      </c>
      <c r="H169" t="str">
        <v>Software engineer</v>
      </c>
      <c r="I169" s="20">
        <v>0</v>
      </c>
      <c r="J169" s="20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2</v>
      </c>
      <c r="S169" s="16">
        <v>2</v>
      </c>
      <c r="T169" s="16">
        <v>2</v>
      </c>
      <c r="U169" s="16">
        <v>2</v>
      </c>
      <c r="V169" s="16">
        <v>2</v>
      </c>
      <c r="W169" s="16">
        <v>2</v>
      </c>
      <c r="X169" s="16">
        <v>2</v>
      </c>
      <c r="Y169" s="16">
        <v>2</v>
      </c>
      <c r="Z169" s="16">
        <v>2</v>
      </c>
      <c r="AA169" s="16">
        <v>2</v>
      </c>
      <c r="AB169" s="16">
        <v>2</v>
      </c>
      <c r="AC169" s="16">
        <v>2</v>
      </c>
      <c r="AD169" s="16">
        <v>2</v>
      </c>
      <c r="AE169" s="16">
        <v>2</v>
      </c>
      <c r="AF169" s="16">
        <v>2</v>
      </c>
      <c r="AG169" s="16">
        <v>2</v>
      </c>
      <c r="AH169" s="16">
        <v>2</v>
      </c>
      <c r="AI169" s="16">
        <v>2</v>
      </c>
      <c r="AJ169" s="16">
        <v>2</v>
      </c>
      <c r="AK169" s="16">
        <v>2</v>
      </c>
      <c r="AL169" s="16">
        <v>2</v>
      </c>
      <c r="AM169" s="16">
        <v>2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</row>
    <row r="170" spans="1:53">
      <c r="A170">
        <v>17</v>
      </c>
      <c r="B170" t="str">
        <v>Active</v>
      </c>
      <c r="C170" t="str">
        <v>Active</v>
      </c>
      <c r="D170" t="str">
        <v>HRS</v>
      </c>
      <c r="E170" t="str">
        <v>Control Eng.</v>
      </c>
      <c r="F170" t="str">
        <v>Software</v>
      </c>
      <c r="G170" t="str">
        <v>SW test engineer</v>
      </c>
      <c r="H170" t="str">
        <v>SW test engineer</v>
      </c>
      <c r="I170" s="20">
        <v>0</v>
      </c>
      <c r="J170" s="20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0.5</v>
      </c>
      <c r="V170" s="16">
        <v>0.5</v>
      </c>
      <c r="W170" s="16">
        <v>0.5</v>
      </c>
      <c r="X170" s="16">
        <v>0.5</v>
      </c>
      <c r="Y170" s="16">
        <v>0.5</v>
      </c>
      <c r="Z170" s="16">
        <v>0.5</v>
      </c>
      <c r="AA170" s="16">
        <v>0.5</v>
      </c>
      <c r="AB170" s="16">
        <v>0.5</v>
      </c>
      <c r="AC170" s="16">
        <v>0.5</v>
      </c>
      <c r="AD170" s="16">
        <v>0.5</v>
      </c>
      <c r="AE170" s="16">
        <v>0.5</v>
      </c>
      <c r="AF170" s="16">
        <v>0.5</v>
      </c>
      <c r="AG170" s="16">
        <v>0.5</v>
      </c>
      <c r="AH170" s="16">
        <v>0.5</v>
      </c>
      <c r="AI170" s="16">
        <v>0.5</v>
      </c>
      <c r="AJ170" s="16">
        <v>0.5</v>
      </c>
      <c r="AK170" s="16">
        <v>0.5</v>
      </c>
      <c r="AL170" s="16">
        <v>0.5</v>
      </c>
      <c r="AM170" s="16">
        <v>0.5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</row>
    <row r="171" spans="1:53">
      <c r="A171">
        <v>18</v>
      </c>
      <c r="B171" t="str">
        <v>Active</v>
      </c>
      <c r="C171" t="str">
        <v>Active</v>
      </c>
      <c r="D171" t="str">
        <v>HRS</v>
      </c>
      <c r="E171" t="str">
        <v>Control Eng.</v>
      </c>
      <c r="F171" t="str">
        <v>Electrical</v>
      </c>
      <c r="G171" t="str">
        <v>Leader</v>
      </c>
      <c r="H171" t="str">
        <v>Joshua Im</v>
      </c>
      <c r="I171" s="20">
        <v>0</v>
      </c>
      <c r="J171" s="20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0.2</v>
      </c>
      <c r="S171" s="16">
        <v>0.2</v>
      </c>
      <c r="T171" s="16">
        <v>0.2</v>
      </c>
      <c r="U171" s="16">
        <v>0.1</v>
      </c>
      <c r="V171" s="16">
        <v>0.1</v>
      </c>
      <c r="W171" s="16">
        <v>0.1</v>
      </c>
      <c r="X171" s="16">
        <v>0.1</v>
      </c>
      <c r="Y171" s="16">
        <v>0.1</v>
      </c>
      <c r="Z171" s="16">
        <v>0.1</v>
      </c>
      <c r="AA171" s="16">
        <v>0.1</v>
      </c>
      <c r="AB171" s="16">
        <v>0.1</v>
      </c>
      <c r="AC171" s="16">
        <v>0.1</v>
      </c>
      <c r="AD171" s="16">
        <v>0.1</v>
      </c>
      <c r="AE171" s="16">
        <v>0.1</v>
      </c>
      <c r="AF171" s="16">
        <v>0.1</v>
      </c>
      <c r="AG171" s="16">
        <v>0.1</v>
      </c>
      <c r="AH171" s="16">
        <v>0.1</v>
      </c>
      <c r="AI171" s="16">
        <v>0.1</v>
      </c>
      <c r="AJ171" s="16">
        <v>0.1</v>
      </c>
      <c r="AK171" s="16">
        <v>0.1</v>
      </c>
      <c r="AL171" s="16">
        <v>0.1</v>
      </c>
      <c r="AM171" s="16">
        <v>0.1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</row>
    <row r="172" spans="1:53">
      <c r="A172">
        <v>19</v>
      </c>
      <c r="B172" t="str">
        <v>Active</v>
      </c>
      <c r="C172" t="str">
        <v>Active</v>
      </c>
      <c r="D172" t="str">
        <v>HRS</v>
      </c>
      <c r="E172" t="str">
        <v>Control Eng.</v>
      </c>
      <c r="F172" t="str">
        <v>Electrical</v>
      </c>
      <c r="G172" t="str">
        <v>Electrical engineer</v>
      </c>
      <c r="H172" t="str">
        <v>Electrical engineer</v>
      </c>
      <c r="I172" s="20">
        <v>0</v>
      </c>
      <c r="J172" s="20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1</v>
      </c>
      <c r="S172" s="16">
        <v>1</v>
      </c>
      <c r="T172" s="16">
        <v>1</v>
      </c>
      <c r="U172" s="16">
        <v>1</v>
      </c>
      <c r="V172" s="16">
        <v>1</v>
      </c>
      <c r="W172" s="16">
        <v>1</v>
      </c>
      <c r="X172" s="16">
        <v>1</v>
      </c>
      <c r="Y172" s="16">
        <v>1</v>
      </c>
      <c r="Z172" s="16">
        <v>1</v>
      </c>
      <c r="AA172" s="16">
        <v>1</v>
      </c>
      <c r="AB172" s="16">
        <v>1</v>
      </c>
      <c r="AC172" s="16">
        <v>1</v>
      </c>
      <c r="AD172" s="16">
        <v>1</v>
      </c>
      <c r="AE172" s="16">
        <v>1</v>
      </c>
      <c r="AF172" s="16">
        <v>1</v>
      </c>
      <c r="AG172" s="16">
        <v>1</v>
      </c>
      <c r="AH172" s="16">
        <v>1</v>
      </c>
      <c r="AI172" s="16">
        <v>1</v>
      </c>
      <c r="AJ172" s="16">
        <v>0.5</v>
      </c>
      <c r="AK172" s="16">
        <v>0.5</v>
      </c>
      <c r="AL172" s="16">
        <v>0.5</v>
      </c>
      <c r="AM172" s="16">
        <v>0.5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</row>
    <row r="173" spans="1:53">
      <c r="A173">
        <v>20</v>
      </c>
      <c r="B173" t="str">
        <v>Active</v>
      </c>
      <c r="C173" t="str">
        <v>Active</v>
      </c>
      <c r="D173" t="str">
        <v>HRS</v>
      </c>
      <c r="E173" t="str">
        <v>NPI IS</v>
      </c>
      <c r="F173" t="str">
        <v>System 2</v>
      </c>
      <c r="G173" t="str">
        <v>System engineer</v>
      </c>
      <c r="H173" t="str">
        <v>Harry Kwak</v>
      </c>
      <c r="I173" s="20">
        <v>0</v>
      </c>
      <c r="J173" s="20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0.5</v>
      </c>
      <c r="S173" s="16">
        <v>0.5</v>
      </c>
      <c r="T173" s="16">
        <v>0.5</v>
      </c>
      <c r="U173" s="16">
        <v>0.5</v>
      </c>
      <c r="V173" s="16">
        <v>0.5</v>
      </c>
      <c r="W173" s="16">
        <v>0.5</v>
      </c>
      <c r="X173" s="16">
        <v>0.5</v>
      </c>
      <c r="Y173" s="16">
        <v>0.5</v>
      </c>
      <c r="Z173" s="16">
        <v>0.5</v>
      </c>
      <c r="AA173" s="16">
        <v>0.5</v>
      </c>
      <c r="AB173" s="16">
        <v>0.5</v>
      </c>
      <c r="AC173" s="16">
        <v>0.5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</row>
    <row r="174" spans="1:53">
      <c r="A174">
        <v>21</v>
      </c>
      <c r="B174" t="str">
        <v>Active</v>
      </c>
      <c r="C174" t="str">
        <v>Active</v>
      </c>
      <c r="D174" t="str">
        <v>HRS</v>
      </c>
      <c r="E174" t="str">
        <v/>
      </c>
      <c r="F174" t="str">
        <v/>
      </c>
      <c r="G174" t="str">
        <v/>
      </c>
      <c r="H174">
        <v>0</v>
      </c>
      <c r="I174" s="20">
        <v>0</v>
      </c>
      <c r="J174" s="20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</row>
    <row r="175" spans="1:53">
      <c r="A175">
        <v>22</v>
      </c>
      <c r="B175" t="str">
        <v>Active</v>
      </c>
      <c r="C175" t="str">
        <v>Active</v>
      </c>
      <c r="D175" t="str">
        <v>HRS</v>
      </c>
      <c r="E175">
        <v>0</v>
      </c>
      <c r="F175">
        <v>0</v>
      </c>
      <c r="G175">
        <v>0</v>
      </c>
      <c r="H175" t="str">
        <v>Gate Plan</v>
      </c>
      <c r="I175" s="20">
        <v>0</v>
      </c>
      <c r="J175" s="20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</row>
    <row r="176" spans="1:53">
      <c r="A176">
        <v>23</v>
      </c>
      <c r="B176" t="str">
        <v>Active</v>
      </c>
      <c r="C176" t="str">
        <v>Active</v>
      </c>
      <c r="D176" t="str">
        <v>HRS</v>
      </c>
      <c r="E176">
        <v>0</v>
      </c>
      <c r="F176">
        <v>0</v>
      </c>
      <c r="G176">
        <v>0</v>
      </c>
      <c r="H176" t="str">
        <v>Gate Plan</v>
      </c>
      <c r="I176" s="20">
        <v>0</v>
      </c>
      <c r="J176" s="20">
        <v>0</v>
      </c>
      <c r="K176" s="16" t="str">
        <v>G2</v>
      </c>
      <c r="L176" s="16">
        <v>0</v>
      </c>
      <c r="M176" s="16">
        <v>0</v>
      </c>
      <c r="N176" s="16" t="str">
        <v>G5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 t="str">
        <v>G3</v>
      </c>
      <c r="Y176" s="16">
        <v>0</v>
      </c>
      <c r="Z176" s="16">
        <v>0</v>
      </c>
      <c r="AA176" s="16">
        <v>0</v>
      </c>
      <c r="AB176" s="16">
        <v>0</v>
      </c>
      <c r="AC176" s="16" t="str">
        <v>G5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 t="str">
        <v>G6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</row>
    <row r="177" spans="1:53">
      <c r="A177">
        <v>1</v>
      </c>
      <c r="B177" t="str">
        <v>potential</v>
      </c>
      <c r="C177" t="str">
        <v>Opportunty</v>
      </c>
      <c r="D177" t="str">
        <v>HRS 9N Upgarde</v>
      </c>
      <c r="E177" t="str">
        <v>PMO</v>
      </c>
      <c r="F177" t="str">
        <v>* Manager</v>
      </c>
      <c r="G177" t="str">
        <v>* Manager</v>
      </c>
      <c r="H177" t="str">
        <v>Jinney Lee</v>
      </c>
      <c r="I177" s="20">
        <v>46412</v>
      </c>
      <c r="J177" s="20">
        <v>46412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0.1</v>
      </c>
      <c r="AE177" s="16">
        <v>0.1</v>
      </c>
      <c r="AF177" s="16">
        <v>0.1</v>
      </c>
      <c r="AG177" s="16">
        <v>0.1</v>
      </c>
      <c r="AH177" s="16">
        <v>0.2</v>
      </c>
      <c r="AI177" s="16">
        <v>0.2</v>
      </c>
      <c r="AJ177" s="16">
        <v>0.2</v>
      </c>
      <c r="AK177" s="16">
        <v>0.2</v>
      </c>
      <c r="AL177" s="16">
        <v>0.2</v>
      </c>
      <c r="AM177" s="16">
        <v>0.2</v>
      </c>
      <c r="AN177" s="16">
        <v>0.2</v>
      </c>
      <c r="AO177" s="16">
        <v>0.2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</row>
    <row r="178" spans="1:53">
      <c r="A178">
        <v>2</v>
      </c>
      <c r="B178" t="str">
        <v>potential</v>
      </c>
      <c r="C178" t="str">
        <v>Opportunty</v>
      </c>
      <c r="D178" t="str">
        <v>HRS 9N Upgarde</v>
      </c>
      <c r="E178" t="str">
        <v>PMO</v>
      </c>
      <c r="F178" t="str">
        <v>PM</v>
      </c>
      <c r="G178" t="str">
        <v>PM</v>
      </c>
      <c r="H178" t="str">
        <v>Eugene Lee</v>
      </c>
      <c r="I178" s="20">
        <v>46412</v>
      </c>
      <c r="J178" s="20">
        <v>46412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0.5</v>
      </c>
      <c r="AE178" s="16">
        <v>0.5</v>
      </c>
      <c r="AF178" s="16">
        <v>0.5</v>
      </c>
      <c r="AG178" s="16">
        <v>1</v>
      </c>
      <c r="AH178" s="16">
        <v>1</v>
      </c>
      <c r="AI178" s="16">
        <v>1</v>
      </c>
      <c r="AJ178" s="16">
        <v>1</v>
      </c>
      <c r="AK178" s="16">
        <v>1</v>
      </c>
      <c r="AL178" s="16">
        <v>1</v>
      </c>
      <c r="AM178" s="16">
        <v>1</v>
      </c>
      <c r="AN178" s="16">
        <v>1</v>
      </c>
      <c r="AO178" s="16">
        <v>1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</row>
    <row r="179" spans="1:53">
      <c r="A179">
        <v>3</v>
      </c>
      <c r="B179" t="str">
        <v>potential</v>
      </c>
      <c r="C179" t="str">
        <v>Opportunty</v>
      </c>
      <c r="D179" t="str">
        <v>HRS 9N Upgarde</v>
      </c>
      <c r="E179" t="str">
        <v>NPI IS</v>
      </c>
      <c r="F179" t="str">
        <v>* Manager</v>
      </c>
      <c r="G179" t="str">
        <v>* Manager</v>
      </c>
      <c r="H179" t="str">
        <v>Dorothy Noh</v>
      </c>
      <c r="I179" s="20">
        <v>46412</v>
      </c>
      <c r="J179" s="20">
        <v>46412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0.1</v>
      </c>
      <c r="AE179" s="16">
        <v>0.1</v>
      </c>
      <c r="AF179" s="16">
        <v>0.1</v>
      </c>
      <c r="AG179" s="16">
        <v>0.1</v>
      </c>
      <c r="AH179" s="16">
        <v>0.2</v>
      </c>
      <c r="AI179" s="16">
        <v>0.2</v>
      </c>
      <c r="AJ179" s="16">
        <v>0.2</v>
      </c>
      <c r="AK179" s="16">
        <v>0.2</v>
      </c>
      <c r="AL179" s="16">
        <v>0.2</v>
      </c>
      <c r="AM179" s="16">
        <v>0.2</v>
      </c>
      <c r="AN179" s="16">
        <v>0.2</v>
      </c>
      <c r="AO179" s="16">
        <v>0.2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</row>
    <row r="180" spans="1:53">
      <c r="A180">
        <v>4</v>
      </c>
      <c r="B180" t="str">
        <v>potential</v>
      </c>
      <c r="C180" t="str">
        <v>Opportunty</v>
      </c>
      <c r="D180" t="str">
        <v>HRS 9N Upgarde</v>
      </c>
      <c r="E180" t="str">
        <v>NPI IS</v>
      </c>
      <c r="F180" t="str">
        <v>System 2</v>
      </c>
      <c r="G180" t="str">
        <v>Tech Lead</v>
      </c>
      <c r="H180" t="str">
        <v>Chad Seo</v>
      </c>
      <c r="I180" s="20">
        <v>46412</v>
      </c>
      <c r="J180" s="20">
        <v>46412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1</v>
      </c>
      <c r="AG180" s="16">
        <v>1</v>
      </c>
      <c r="AH180" s="16">
        <v>1</v>
      </c>
      <c r="AI180" s="16">
        <v>1</v>
      </c>
      <c r="AJ180" s="16">
        <v>1</v>
      </c>
      <c r="AK180" s="16">
        <v>1</v>
      </c>
      <c r="AL180" s="16">
        <v>1</v>
      </c>
      <c r="AM180" s="16">
        <v>1</v>
      </c>
      <c r="AN180" s="16">
        <v>1</v>
      </c>
      <c r="AO180" s="16">
        <v>1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</row>
    <row r="181" spans="1:53">
      <c r="A181">
        <v>5</v>
      </c>
      <c r="B181" t="str">
        <v>potential</v>
      </c>
      <c r="C181" t="str">
        <v>Opportunty</v>
      </c>
      <c r="D181" t="str">
        <v>HRS 9N Upgarde</v>
      </c>
      <c r="E181" t="str">
        <v>NPI IS</v>
      </c>
      <c r="F181" t="str">
        <v>System 2</v>
      </c>
      <c r="G181" t="str">
        <v>System engineer</v>
      </c>
      <c r="H181" t="str">
        <v>Jess Kim</v>
      </c>
      <c r="I181" s="20">
        <v>46412</v>
      </c>
      <c r="J181" s="20">
        <v>46412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1</v>
      </c>
      <c r="AE181" s="16">
        <v>1</v>
      </c>
      <c r="AF181" s="16">
        <v>1</v>
      </c>
      <c r="AG181" s="16">
        <v>1</v>
      </c>
      <c r="AH181" s="16">
        <v>1</v>
      </c>
      <c r="AI181" s="16">
        <v>1</v>
      </c>
      <c r="AJ181" s="16">
        <v>1</v>
      </c>
      <c r="AK181" s="16">
        <v>1</v>
      </c>
      <c r="AL181" s="16">
        <v>1</v>
      </c>
      <c r="AM181" s="16">
        <v>1</v>
      </c>
      <c r="AN181" s="16">
        <v>1</v>
      </c>
      <c r="AO181" s="16">
        <v>1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</row>
    <row r="182" spans="1:53">
      <c r="A182">
        <v>6</v>
      </c>
      <c r="B182" t="str">
        <v>potential</v>
      </c>
      <c r="C182" t="str">
        <v>Opportunty</v>
      </c>
      <c r="D182" t="str">
        <v>HRS 9N Upgarde</v>
      </c>
      <c r="E182" t="str">
        <v>NPI IS</v>
      </c>
      <c r="F182" t="str">
        <v>System 1</v>
      </c>
      <c r="G182" t="str">
        <v>Service engineer</v>
      </c>
      <c r="H182" t="str">
        <v>Judy Lee</v>
      </c>
      <c r="I182" s="20">
        <v>46412</v>
      </c>
      <c r="J182" s="20">
        <v>46412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1</v>
      </c>
      <c r="AE182" s="16">
        <v>1</v>
      </c>
      <c r="AF182" s="16">
        <v>1</v>
      </c>
      <c r="AG182" s="16">
        <v>1</v>
      </c>
      <c r="AH182" s="16">
        <v>1</v>
      </c>
      <c r="AI182" s="16">
        <v>1</v>
      </c>
      <c r="AJ182" s="16">
        <v>1</v>
      </c>
      <c r="AK182" s="16">
        <v>1</v>
      </c>
      <c r="AL182" s="16">
        <v>1</v>
      </c>
      <c r="AM182" s="16">
        <v>1</v>
      </c>
      <c r="AN182" s="16">
        <v>1</v>
      </c>
      <c r="AO182" s="16">
        <v>1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</row>
    <row r="183" spans="1:53">
      <c r="A183">
        <v>7</v>
      </c>
      <c r="B183" t="str">
        <v>potential</v>
      </c>
      <c r="C183" t="str">
        <v>Opportunty</v>
      </c>
      <c r="D183" t="str">
        <v>HRS 9N Upgarde</v>
      </c>
      <c r="E183" t="str">
        <v>NPI IS</v>
      </c>
      <c r="F183" t="str">
        <v>Mechanical</v>
      </c>
      <c r="G183" t="str">
        <v>Leader</v>
      </c>
      <c r="H183" t="str">
        <v>Jeremy Park</v>
      </c>
      <c r="I183" s="20">
        <v>46412</v>
      </c>
      <c r="J183" s="20">
        <v>46412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0.1</v>
      </c>
      <c r="AE183" s="16">
        <v>0.1</v>
      </c>
      <c r="AF183" s="16">
        <v>0.1</v>
      </c>
      <c r="AG183" s="16">
        <v>0.1</v>
      </c>
      <c r="AH183" s="16">
        <v>0.3</v>
      </c>
      <c r="AI183" s="16">
        <v>0.3</v>
      </c>
      <c r="AJ183" s="16">
        <v>0.2</v>
      </c>
      <c r="AK183" s="16">
        <v>0.2</v>
      </c>
      <c r="AL183" s="16">
        <v>0.2</v>
      </c>
      <c r="AM183" s="16">
        <v>0.2</v>
      </c>
      <c r="AN183" s="16">
        <v>0.2</v>
      </c>
      <c r="AO183" s="16">
        <v>0.2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</row>
    <row r="184" spans="1:53">
      <c r="A184">
        <v>8</v>
      </c>
      <c r="B184" t="str">
        <v>potential</v>
      </c>
      <c r="C184" t="str">
        <v>Opportunty</v>
      </c>
      <c r="D184" t="str">
        <v>HRS 9N Upgarde</v>
      </c>
      <c r="E184" t="str">
        <v>NPI IS</v>
      </c>
      <c r="F184" t="str">
        <v>Mechanical</v>
      </c>
      <c r="G184" t="str">
        <v>Mechanical engineer</v>
      </c>
      <c r="H184" t="str">
        <v>Derek Cho</v>
      </c>
      <c r="I184" s="20">
        <v>46412</v>
      </c>
      <c r="J184" s="20">
        <v>46412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0.5</v>
      </c>
      <c r="AE184" s="16">
        <v>0.5</v>
      </c>
      <c r="AF184" s="16">
        <v>0.5</v>
      </c>
      <c r="AG184" s="16">
        <v>0.5</v>
      </c>
      <c r="AH184" s="16">
        <v>1</v>
      </c>
      <c r="AI184" s="16">
        <v>1</v>
      </c>
      <c r="AJ184" s="16">
        <v>1</v>
      </c>
      <c r="AK184" s="16">
        <v>1</v>
      </c>
      <c r="AL184" s="16">
        <v>1</v>
      </c>
      <c r="AM184" s="16">
        <v>1</v>
      </c>
      <c r="AN184" s="16">
        <v>1</v>
      </c>
      <c r="AO184" s="16">
        <v>1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</row>
    <row r="185" spans="1:53">
      <c r="A185">
        <v>9</v>
      </c>
      <c r="B185" t="str">
        <v>potential</v>
      </c>
      <c r="C185" t="str">
        <v>Opportunty</v>
      </c>
      <c r="D185" t="str">
        <v>HRS 9N Upgarde</v>
      </c>
      <c r="E185" t="str">
        <v>Control Eng.</v>
      </c>
      <c r="F185" t="str">
        <v>* Manager</v>
      </c>
      <c r="G185" t="str">
        <v>* Manager</v>
      </c>
      <c r="H185" t="str">
        <v>Mogen Seo</v>
      </c>
      <c r="I185" s="20">
        <v>46412</v>
      </c>
      <c r="J185" s="20">
        <v>46412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0.1</v>
      </c>
      <c r="AE185" s="16">
        <v>0.1</v>
      </c>
      <c r="AF185" s="16">
        <v>0.1</v>
      </c>
      <c r="AG185" s="16">
        <v>0.1</v>
      </c>
      <c r="AH185" s="16">
        <v>0.1</v>
      </c>
      <c r="AI185" s="16">
        <v>0.1</v>
      </c>
      <c r="AJ185" s="16">
        <v>0.1</v>
      </c>
      <c r="AK185" s="16">
        <v>0.1</v>
      </c>
      <c r="AL185" s="16">
        <v>0.1</v>
      </c>
      <c r="AM185" s="16">
        <v>0.1</v>
      </c>
      <c r="AN185" s="16">
        <v>0.1</v>
      </c>
      <c r="AO185" s="16">
        <v>0.1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</row>
    <row r="186" spans="1:53">
      <c r="A186">
        <v>10</v>
      </c>
      <c r="B186" t="str">
        <v>potential</v>
      </c>
      <c r="C186" t="str">
        <v>Opportunty</v>
      </c>
      <c r="D186" t="str">
        <v>HRS 9N Upgarde</v>
      </c>
      <c r="E186" t="str">
        <v>Control Eng.</v>
      </c>
      <c r="F186" t="str">
        <v>Software</v>
      </c>
      <c r="G186" t="str">
        <v>Leader</v>
      </c>
      <c r="H186" t="str">
        <v>Gerald Park</v>
      </c>
      <c r="I186" s="20">
        <v>46412</v>
      </c>
      <c r="J186" s="20">
        <v>46412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0.1</v>
      </c>
      <c r="AI186" s="16">
        <v>0.1</v>
      </c>
      <c r="AJ186" s="16">
        <v>0.1</v>
      </c>
      <c r="AK186" s="16">
        <v>0.1</v>
      </c>
      <c r="AL186" s="16">
        <v>0.1</v>
      </c>
      <c r="AM186" s="16">
        <v>0.1</v>
      </c>
      <c r="AN186" s="16">
        <v>0.1</v>
      </c>
      <c r="AO186" s="16">
        <v>0.1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</row>
    <row r="187" spans="1:53">
      <c r="A187">
        <v>11</v>
      </c>
      <c r="B187" t="str">
        <v>potential</v>
      </c>
      <c r="C187" t="str">
        <v>Opportunty</v>
      </c>
      <c r="D187" t="str">
        <v>HRS 9N Upgarde</v>
      </c>
      <c r="E187" t="str">
        <v>Control Eng.</v>
      </c>
      <c r="F187" t="str">
        <v>Software</v>
      </c>
      <c r="G187" t="str">
        <v>Software engineer</v>
      </c>
      <c r="H187" t="str">
        <v>Software engineer</v>
      </c>
      <c r="I187" s="20">
        <v>46412</v>
      </c>
      <c r="J187" s="20">
        <v>46412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0.5</v>
      </c>
      <c r="AE187" s="16">
        <v>0.5</v>
      </c>
      <c r="AF187" s="16">
        <v>0.5</v>
      </c>
      <c r="AG187" s="16">
        <v>0.5</v>
      </c>
      <c r="AH187" s="16">
        <v>0.5</v>
      </c>
      <c r="AI187" s="16">
        <v>0.5</v>
      </c>
      <c r="AJ187" s="16">
        <v>0.5</v>
      </c>
      <c r="AK187" s="16">
        <v>0.5</v>
      </c>
      <c r="AL187" s="16">
        <v>0.5</v>
      </c>
      <c r="AM187" s="16">
        <v>0.5</v>
      </c>
      <c r="AN187" s="16">
        <v>0.5</v>
      </c>
      <c r="AO187" s="16">
        <v>0.5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</row>
    <row r="188" spans="1:53">
      <c r="A188">
        <v>12</v>
      </c>
      <c r="B188" t="str">
        <v>potential</v>
      </c>
      <c r="C188" t="str">
        <v>Opportunty</v>
      </c>
      <c r="D188" t="str">
        <v>HRS 9N Upgarde</v>
      </c>
      <c r="E188" t="str">
        <v>Control Eng.</v>
      </c>
      <c r="F188" t="str">
        <v>Software</v>
      </c>
      <c r="G188" t="str">
        <v>SW test engineer</v>
      </c>
      <c r="H188" t="str">
        <v>SW test engineer</v>
      </c>
      <c r="I188" s="20">
        <v>46412</v>
      </c>
      <c r="J188" s="20">
        <v>46412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0.5</v>
      </c>
      <c r="AI188" s="16">
        <v>0.5</v>
      </c>
      <c r="AJ188" s="16">
        <v>0.5</v>
      </c>
      <c r="AK188" s="16">
        <v>0.5</v>
      </c>
      <c r="AL188" s="16">
        <v>0.5</v>
      </c>
      <c r="AM188" s="16">
        <v>0.5</v>
      </c>
      <c r="AN188" s="16">
        <v>0.5</v>
      </c>
      <c r="AO188" s="16">
        <v>0.5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</row>
    <row r="189" spans="1:53">
      <c r="A189">
        <v>13</v>
      </c>
      <c r="B189" t="str">
        <v>potential</v>
      </c>
      <c r="C189" t="str">
        <v>Opportunty</v>
      </c>
      <c r="D189" t="str">
        <v>HRS 9N Upgarde</v>
      </c>
      <c r="E189" t="str">
        <v>Control Eng.</v>
      </c>
      <c r="F189" t="str">
        <v>Electrical</v>
      </c>
      <c r="G189" t="str">
        <v>Leader</v>
      </c>
      <c r="H189" t="str">
        <v>Joshua Im</v>
      </c>
      <c r="I189" s="20">
        <v>46412</v>
      </c>
      <c r="J189" s="20">
        <v>46412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0.2</v>
      </c>
      <c r="AE189" s="16">
        <v>0.2</v>
      </c>
      <c r="AF189" s="16">
        <v>0.2</v>
      </c>
      <c r="AG189" s="16">
        <v>0.2</v>
      </c>
      <c r="AH189" s="16">
        <v>0.2</v>
      </c>
      <c r="AI189" s="16">
        <v>0.2</v>
      </c>
      <c r="AJ189" s="16">
        <v>0.2</v>
      </c>
      <c r="AK189" s="16">
        <v>0.2</v>
      </c>
      <c r="AL189" s="16">
        <v>0.2</v>
      </c>
      <c r="AM189" s="16">
        <v>0.2</v>
      </c>
      <c r="AN189" s="16">
        <v>0.2</v>
      </c>
      <c r="AO189" s="16">
        <v>0.2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</row>
    <row r="190" spans="1:53">
      <c r="A190">
        <v>14</v>
      </c>
      <c r="B190" t="str">
        <v>potential</v>
      </c>
      <c r="C190" t="str">
        <v>Opportunty</v>
      </c>
      <c r="D190" t="str">
        <v>HRS 9N Upgarde</v>
      </c>
      <c r="E190" t="str">
        <v>Control Eng.</v>
      </c>
      <c r="F190" t="str">
        <v>Electrical</v>
      </c>
      <c r="G190" t="str">
        <v>Electrical engineer</v>
      </c>
      <c r="H190" t="str">
        <v>Dean Choi</v>
      </c>
      <c r="I190" s="20">
        <v>46412</v>
      </c>
      <c r="J190" s="20">
        <v>46412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1</v>
      </c>
      <c r="AE190" s="16">
        <v>1</v>
      </c>
      <c r="AF190" s="16">
        <v>1</v>
      </c>
      <c r="AG190" s="16">
        <v>1</v>
      </c>
      <c r="AH190" s="16">
        <v>1</v>
      </c>
      <c r="AI190" s="16">
        <v>1</v>
      </c>
      <c r="AJ190" s="16">
        <v>1</v>
      </c>
      <c r="AK190" s="16">
        <v>1</v>
      </c>
      <c r="AL190" s="16">
        <v>1</v>
      </c>
      <c r="AM190" s="16">
        <v>1</v>
      </c>
      <c r="AN190" s="16">
        <v>1</v>
      </c>
      <c r="AO190" s="16">
        <v>1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</row>
    <row r="191" spans="1:53">
      <c r="A191">
        <v>15</v>
      </c>
      <c r="B191" t="str">
        <v>potential</v>
      </c>
      <c r="C191" t="str">
        <v>Opportunty</v>
      </c>
      <c r="D191" t="str">
        <v>HRS 9N Upgarde</v>
      </c>
      <c r="E191">
        <v>0</v>
      </c>
      <c r="F191">
        <v>0</v>
      </c>
      <c r="G191">
        <v>0</v>
      </c>
      <c r="H191" t="str">
        <v>Gate Plan</v>
      </c>
      <c r="I191" s="20">
        <v>46412</v>
      </c>
      <c r="J191" s="20">
        <v>46412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 t="str">
        <v>G2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 t="str">
        <v>Update</v>
      </c>
      <c r="AK191" s="16">
        <v>0</v>
      </c>
      <c r="AL191" s="16">
        <v>0</v>
      </c>
      <c r="AM191" s="16">
        <v>0</v>
      </c>
      <c r="AN191" s="16">
        <v>0</v>
      </c>
      <c r="AO191" s="16" t="str">
        <v>G5/G6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</row>
    <row r="192" spans="1:53">
      <c r="A192">
        <v>1</v>
      </c>
      <c r="B192" t="str">
        <v>potential</v>
      </c>
      <c r="C192" t="str">
        <v>Lead</v>
      </c>
      <c r="D192" t="str">
        <v>CatOX</v>
      </c>
      <c r="E192" t="str">
        <v>Engineering</v>
      </c>
      <c r="F192" t="str">
        <v>* Manager</v>
      </c>
      <c r="G192" t="str">
        <v>* Eng Manager</v>
      </c>
      <c r="H192" t="str">
        <v>JiYoung Son</v>
      </c>
      <c r="I192" s="20">
        <v>46539</v>
      </c>
      <c r="J192" s="20">
        <v>46722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0.1</v>
      </c>
      <c r="AA192" s="16">
        <v>0.1</v>
      </c>
      <c r="AB192" s="16">
        <v>0.1</v>
      </c>
      <c r="AC192" s="16">
        <v>0.1</v>
      </c>
      <c r="AD192" s="16">
        <v>0.1</v>
      </c>
      <c r="AE192" s="16">
        <v>0.1</v>
      </c>
      <c r="AF192" s="16">
        <v>0.1</v>
      </c>
      <c r="AG192" s="16">
        <v>0.1</v>
      </c>
      <c r="AH192" s="16">
        <v>0.1</v>
      </c>
      <c r="AI192" s="16">
        <v>0.1</v>
      </c>
      <c r="AJ192" s="16">
        <v>0.1</v>
      </c>
      <c r="AK192" s="16">
        <v>0.1</v>
      </c>
      <c r="AL192" s="16">
        <v>0.1</v>
      </c>
      <c r="AM192" s="16">
        <v>0.1</v>
      </c>
      <c r="AN192" s="16">
        <v>0.1</v>
      </c>
      <c r="AO192" s="16">
        <v>0.1</v>
      </c>
      <c r="AP192" s="16">
        <v>0.1</v>
      </c>
      <c r="AQ192" s="16">
        <v>0.1</v>
      </c>
      <c r="AR192" s="16">
        <v>0.1</v>
      </c>
      <c r="AS192" s="16">
        <v>0.1</v>
      </c>
      <c r="AT192" s="16">
        <v>0.1</v>
      </c>
      <c r="AU192" s="16">
        <v>0.1</v>
      </c>
      <c r="AV192" s="16">
        <v>0.1</v>
      </c>
      <c r="AW192" s="16">
        <v>0.1</v>
      </c>
      <c r="AX192" s="16">
        <v>0</v>
      </c>
      <c r="AY192" s="16">
        <v>0</v>
      </c>
      <c r="AZ192" s="16">
        <v>0</v>
      </c>
      <c r="BA192" s="16">
        <v>0</v>
      </c>
    </row>
    <row r="193" spans="1:53">
      <c r="A193">
        <v>2</v>
      </c>
      <c r="B193" t="str">
        <v>potential</v>
      </c>
      <c r="C193" t="str">
        <v>Lead</v>
      </c>
      <c r="D193" t="str">
        <v>CatOX</v>
      </c>
      <c r="E193" t="str">
        <v>PMO</v>
      </c>
      <c r="F193" t="str">
        <v>* Manager</v>
      </c>
      <c r="G193" t="str">
        <v>* Manager</v>
      </c>
      <c r="H193" t="str">
        <v>Jinney Lee</v>
      </c>
      <c r="I193" s="20">
        <v>46539</v>
      </c>
      <c r="J193" s="20">
        <v>46722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0.2</v>
      </c>
      <c r="AA193" s="16">
        <v>0.2</v>
      </c>
      <c r="AB193" s="16">
        <v>0.2</v>
      </c>
      <c r="AC193" s="16">
        <v>0.2</v>
      </c>
      <c r="AD193" s="16">
        <v>0.2</v>
      </c>
      <c r="AE193" s="16">
        <v>0.2</v>
      </c>
      <c r="AF193" s="16">
        <v>0.2</v>
      </c>
      <c r="AG193" s="16">
        <v>0.2</v>
      </c>
      <c r="AH193" s="16">
        <v>0.2</v>
      </c>
      <c r="AI193" s="16">
        <v>0.2</v>
      </c>
      <c r="AJ193" s="16">
        <v>0.2</v>
      </c>
      <c r="AK193" s="16">
        <v>0.2</v>
      </c>
      <c r="AL193" s="16">
        <v>0.2</v>
      </c>
      <c r="AM193" s="16">
        <v>0.2</v>
      </c>
      <c r="AN193" s="16">
        <v>0.2</v>
      </c>
      <c r="AO193" s="16">
        <v>0.2</v>
      </c>
      <c r="AP193" s="16">
        <v>0.2</v>
      </c>
      <c r="AQ193" s="16">
        <v>0.2</v>
      </c>
      <c r="AR193" s="16">
        <v>0.2</v>
      </c>
      <c r="AS193" s="16">
        <v>0.2</v>
      </c>
      <c r="AT193" s="16">
        <v>0.1</v>
      </c>
      <c r="AU193" s="16">
        <v>0.1</v>
      </c>
      <c r="AV193" s="16">
        <v>0.1</v>
      </c>
      <c r="AW193" s="16">
        <v>0.1</v>
      </c>
      <c r="AX193" s="16">
        <v>0</v>
      </c>
      <c r="AY193" s="16">
        <v>0</v>
      </c>
      <c r="AZ193" s="16">
        <v>0</v>
      </c>
      <c r="BA193" s="16">
        <v>0</v>
      </c>
    </row>
    <row r="194" spans="1:53">
      <c r="A194">
        <v>3</v>
      </c>
      <c r="B194" t="str">
        <v>potential</v>
      </c>
      <c r="C194" t="str">
        <v>Lead</v>
      </c>
      <c r="D194" t="str">
        <v>CatOX</v>
      </c>
      <c r="E194" t="str">
        <v>PMO</v>
      </c>
      <c r="F194" t="str">
        <v>PM</v>
      </c>
      <c r="G194" t="str">
        <v>PM</v>
      </c>
      <c r="H194" t="str">
        <v>Yuro Lee</v>
      </c>
      <c r="I194" s="20">
        <v>46539</v>
      </c>
      <c r="J194" s="20">
        <v>46722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</v>
      </c>
      <c r="AA194" s="16">
        <v>1</v>
      </c>
      <c r="AB194" s="16">
        <v>1</v>
      </c>
      <c r="AC194" s="16">
        <v>1</v>
      </c>
      <c r="AD194" s="16">
        <v>1</v>
      </c>
      <c r="AE194" s="16">
        <v>1</v>
      </c>
      <c r="AF194" s="16">
        <v>1</v>
      </c>
      <c r="AG194" s="16">
        <v>1</v>
      </c>
      <c r="AH194" s="16">
        <v>1</v>
      </c>
      <c r="AI194" s="16">
        <v>1</v>
      </c>
      <c r="AJ194" s="16">
        <v>1</v>
      </c>
      <c r="AK194" s="16">
        <v>1</v>
      </c>
      <c r="AL194" s="16">
        <v>1</v>
      </c>
      <c r="AM194" s="16">
        <v>1</v>
      </c>
      <c r="AN194" s="16">
        <v>1</v>
      </c>
      <c r="AO194" s="16">
        <v>1</v>
      </c>
      <c r="AP194" s="16">
        <v>1</v>
      </c>
      <c r="AQ194" s="16">
        <v>1</v>
      </c>
      <c r="AR194" s="16">
        <v>1</v>
      </c>
      <c r="AS194" s="16">
        <v>1</v>
      </c>
      <c r="AT194" s="16">
        <v>1</v>
      </c>
      <c r="AU194" s="16">
        <v>1</v>
      </c>
      <c r="AV194" s="16">
        <v>1</v>
      </c>
      <c r="AW194" s="16">
        <v>1</v>
      </c>
      <c r="AX194" s="16">
        <v>0</v>
      </c>
      <c r="AY194" s="16">
        <v>0</v>
      </c>
      <c r="AZ194" s="16">
        <v>0</v>
      </c>
      <c r="BA194" s="16">
        <v>0</v>
      </c>
    </row>
    <row r="195" spans="1:53">
      <c r="A195">
        <v>4</v>
      </c>
      <c r="B195" t="str">
        <v>potential</v>
      </c>
      <c r="C195" t="str">
        <v>Lead</v>
      </c>
      <c r="D195" t="str">
        <v>CatOX</v>
      </c>
      <c r="E195" t="str">
        <v>NPI IS</v>
      </c>
      <c r="F195" t="str">
        <v>* Manager</v>
      </c>
      <c r="G195" t="str">
        <v>* Manager</v>
      </c>
      <c r="H195" t="str">
        <v>Dorothy Noh</v>
      </c>
      <c r="I195" s="20">
        <v>46539</v>
      </c>
      <c r="J195" s="20">
        <v>46722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0.2</v>
      </c>
      <c r="AA195" s="16">
        <v>0.2</v>
      </c>
      <c r="AB195" s="16">
        <v>0.2</v>
      </c>
      <c r="AC195" s="16">
        <v>0.2</v>
      </c>
      <c r="AD195" s="16">
        <v>0.3</v>
      </c>
      <c r="AE195" s="16">
        <v>0.3</v>
      </c>
      <c r="AF195" s="16">
        <v>0.3</v>
      </c>
      <c r="AG195" s="16">
        <v>0.3</v>
      </c>
      <c r="AH195" s="16">
        <v>0.3</v>
      </c>
      <c r="AI195" s="16">
        <v>0.3</v>
      </c>
      <c r="AJ195" s="16">
        <v>0.3</v>
      </c>
      <c r="AK195" s="16">
        <v>0.3</v>
      </c>
      <c r="AL195" s="16">
        <v>0.3</v>
      </c>
      <c r="AM195" s="16">
        <v>0.3</v>
      </c>
      <c r="AN195" s="16">
        <v>0.3</v>
      </c>
      <c r="AO195" s="16">
        <v>0.3</v>
      </c>
      <c r="AP195" s="16">
        <v>0.3</v>
      </c>
      <c r="AQ195" s="16">
        <v>0.3</v>
      </c>
      <c r="AR195" s="16">
        <v>0.3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</row>
    <row r="196" spans="1:53">
      <c r="A196">
        <v>5</v>
      </c>
      <c r="B196" t="str">
        <v>potential</v>
      </c>
      <c r="C196" t="str">
        <v>Lead</v>
      </c>
      <c r="D196" t="str">
        <v>CatOX</v>
      </c>
      <c r="E196" t="str">
        <v>NPI IS</v>
      </c>
      <c r="F196" t="str">
        <v>System 1</v>
      </c>
      <c r="G196" t="str">
        <v>Tech Lead</v>
      </c>
      <c r="H196" t="str">
        <v>Michael Kim</v>
      </c>
      <c r="I196" s="20">
        <v>46539</v>
      </c>
      <c r="J196" s="20">
        <v>46722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1</v>
      </c>
      <c r="AA196" s="16">
        <v>1</v>
      </c>
      <c r="AB196" s="16">
        <v>1</v>
      </c>
      <c r="AC196" s="16">
        <v>1</v>
      </c>
      <c r="AD196" s="16">
        <v>1</v>
      </c>
      <c r="AE196" s="16">
        <v>1</v>
      </c>
      <c r="AF196" s="16">
        <v>1</v>
      </c>
      <c r="AG196" s="16">
        <v>1</v>
      </c>
      <c r="AH196" s="16">
        <v>1</v>
      </c>
      <c r="AI196" s="16">
        <v>1</v>
      </c>
      <c r="AJ196" s="16">
        <v>1</v>
      </c>
      <c r="AK196" s="16">
        <v>1</v>
      </c>
      <c r="AL196" s="16">
        <v>1</v>
      </c>
      <c r="AM196" s="16">
        <v>1</v>
      </c>
      <c r="AN196" s="16">
        <v>1</v>
      </c>
      <c r="AO196" s="16">
        <v>1</v>
      </c>
      <c r="AP196" s="16">
        <v>1</v>
      </c>
      <c r="AQ196" s="16">
        <v>1</v>
      </c>
      <c r="AR196" s="16">
        <v>1</v>
      </c>
      <c r="AS196" s="16">
        <v>1</v>
      </c>
      <c r="AT196" s="16">
        <v>1</v>
      </c>
      <c r="AU196" s="16">
        <v>1</v>
      </c>
      <c r="AV196" s="16">
        <v>1</v>
      </c>
      <c r="AW196" s="16">
        <v>1</v>
      </c>
      <c r="AX196" s="16">
        <v>0</v>
      </c>
      <c r="AY196" s="16">
        <v>0</v>
      </c>
      <c r="AZ196" s="16">
        <v>0</v>
      </c>
      <c r="BA196" s="16">
        <v>0</v>
      </c>
    </row>
    <row r="197" spans="1:53">
      <c r="A197">
        <v>6</v>
      </c>
      <c r="B197" t="str">
        <v>potential</v>
      </c>
      <c r="C197" t="str">
        <v>Lead</v>
      </c>
      <c r="D197" t="str">
        <v>CatOX</v>
      </c>
      <c r="E197" t="str">
        <v>NPI IS</v>
      </c>
      <c r="F197" t="str">
        <v>System 2</v>
      </c>
      <c r="G197" t="str">
        <v>System engineer</v>
      </c>
      <c r="H197" t="str">
        <v>Jess Kim</v>
      </c>
      <c r="I197" s="20">
        <v>46539</v>
      </c>
      <c r="J197" s="20">
        <v>46722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1</v>
      </c>
      <c r="AA197" s="16">
        <v>1</v>
      </c>
      <c r="AB197" s="16">
        <v>1</v>
      </c>
      <c r="AC197" s="16">
        <v>1</v>
      </c>
      <c r="AD197" s="16">
        <v>1</v>
      </c>
      <c r="AE197" s="16">
        <v>1</v>
      </c>
      <c r="AF197" s="16">
        <v>1</v>
      </c>
      <c r="AG197" s="16">
        <v>1</v>
      </c>
      <c r="AH197" s="16">
        <v>1</v>
      </c>
      <c r="AI197" s="16">
        <v>1</v>
      </c>
      <c r="AJ197" s="16">
        <v>1</v>
      </c>
      <c r="AK197" s="16">
        <v>1</v>
      </c>
      <c r="AL197" s="16">
        <v>1</v>
      </c>
      <c r="AM197" s="16">
        <v>1</v>
      </c>
      <c r="AN197" s="16">
        <v>1</v>
      </c>
      <c r="AO197" s="16">
        <v>1</v>
      </c>
      <c r="AP197" s="16">
        <v>1</v>
      </c>
      <c r="AQ197" s="16">
        <v>1</v>
      </c>
      <c r="AR197" s="16">
        <v>1</v>
      </c>
      <c r="AS197" s="16">
        <v>1</v>
      </c>
      <c r="AT197" s="16">
        <v>1</v>
      </c>
      <c r="AU197" s="16">
        <v>1</v>
      </c>
      <c r="AV197" s="16">
        <v>1</v>
      </c>
      <c r="AW197" s="16">
        <v>1</v>
      </c>
      <c r="AX197" s="16">
        <v>0</v>
      </c>
      <c r="AY197" s="16">
        <v>0</v>
      </c>
      <c r="AZ197" s="16">
        <v>0</v>
      </c>
      <c r="BA197" s="16">
        <v>0</v>
      </c>
    </row>
    <row r="198" spans="1:53">
      <c r="A198">
        <v>7</v>
      </c>
      <c r="B198" t="str">
        <v>potential</v>
      </c>
      <c r="C198" t="str">
        <v>Lead</v>
      </c>
      <c r="D198" t="str">
        <v>CatOX</v>
      </c>
      <c r="E198" t="str">
        <v>NPI IS</v>
      </c>
      <c r="F198" t="str">
        <v>System □</v>
      </c>
      <c r="G198" t="str">
        <v>System engineer</v>
      </c>
      <c r="H198" t="str">
        <v>System engineer</v>
      </c>
      <c r="I198" s="20">
        <v>46539</v>
      </c>
      <c r="J198" s="20">
        <v>46722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0.5</v>
      </c>
      <c r="AA198" s="16">
        <v>0.5</v>
      </c>
      <c r="AB198" s="16">
        <v>0.5</v>
      </c>
      <c r="AC198" s="16">
        <v>0.5</v>
      </c>
      <c r="AD198" s="16">
        <v>1</v>
      </c>
      <c r="AE198" s="16">
        <v>1</v>
      </c>
      <c r="AF198" s="16">
        <v>1</v>
      </c>
      <c r="AG198" s="16">
        <v>1</v>
      </c>
      <c r="AH198" s="16">
        <v>1</v>
      </c>
      <c r="AI198" s="16">
        <v>1</v>
      </c>
      <c r="AJ198" s="16">
        <v>1</v>
      </c>
      <c r="AK198" s="16">
        <v>1</v>
      </c>
      <c r="AL198" s="16">
        <v>1</v>
      </c>
      <c r="AM198" s="16">
        <v>1</v>
      </c>
      <c r="AN198" s="16">
        <v>1</v>
      </c>
      <c r="AO198" s="16">
        <v>1</v>
      </c>
      <c r="AP198" s="16">
        <v>1</v>
      </c>
      <c r="AQ198" s="16">
        <v>1</v>
      </c>
      <c r="AR198" s="16">
        <v>1</v>
      </c>
      <c r="AS198" s="16">
        <v>1</v>
      </c>
      <c r="AT198" s="16">
        <v>1</v>
      </c>
      <c r="AU198" s="16">
        <v>1</v>
      </c>
      <c r="AV198" s="16">
        <v>1</v>
      </c>
      <c r="AW198" s="16">
        <v>1</v>
      </c>
      <c r="AX198" s="16">
        <v>0</v>
      </c>
      <c r="AY198" s="16">
        <v>0</v>
      </c>
      <c r="AZ198" s="16">
        <v>0</v>
      </c>
      <c r="BA198" s="16">
        <v>0</v>
      </c>
    </row>
    <row r="199" spans="1:53">
      <c r="A199">
        <v>8</v>
      </c>
      <c r="B199" t="str">
        <v>potential</v>
      </c>
      <c r="C199" t="str">
        <v>Lead</v>
      </c>
      <c r="D199" t="str">
        <v>CatOX</v>
      </c>
      <c r="E199" t="str">
        <v>NPI IS</v>
      </c>
      <c r="F199" t="str">
        <v>System 3</v>
      </c>
      <c r="G199" t="str">
        <v>System engineer</v>
      </c>
      <c r="H199" t="str">
        <v>Tred Park</v>
      </c>
      <c r="I199" s="20">
        <v>46539</v>
      </c>
      <c r="J199" s="20">
        <v>46722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1</v>
      </c>
      <c r="AE199" s="16">
        <v>1</v>
      </c>
      <c r="AF199" s="16">
        <v>1</v>
      </c>
      <c r="AG199" s="16">
        <v>1</v>
      </c>
      <c r="AH199" s="16">
        <v>1</v>
      </c>
      <c r="AI199" s="16">
        <v>1</v>
      </c>
      <c r="AJ199" s="16">
        <v>1</v>
      </c>
      <c r="AK199" s="16">
        <v>1</v>
      </c>
      <c r="AL199" s="16">
        <v>1</v>
      </c>
      <c r="AM199" s="16">
        <v>1</v>
      </c>
      <c r="AN199" s="16">
        <v>1</v>
      </c>
      <c r="AO199" s="16">
        <v>1</v>
      </c>
      <c r="AP199" s="16">
        <v>1</v>
      </c>
      <c r="AQ199" s="16">
        <v>1</v>
      </c>
      <c r="AR199" s="16">
        <v>1</v>
      </c>
      <c r="AS199" s="16">
        <v>1</v>
      </c>
      <c r="AT199" s="16">
        <v>1</v>
      </c>
      <c r="AU199" s="16">
        <v>1</v>
      </c>
      <c r="AV199" s="16">
        <v>1</v>
      </c>
      <c r="AW199" s="16">
        <v>1</v>
      </c>
      <c r="AX199" s="16">
        <v>0</v>
      </c>
      <c r="AY199" s="16">
        <v>0</v>
      </c>
      <c r="AZ199" s="16">
        <v>0</v>
      </c>
      <c r="BA199" s="16">
        <v>0</v>
      </c>
    </row>
    <row r="200" spans="1:53">
      <c r="A200">
        <v>9</v>
      </c>
      <c r="B200" t="str">
        <v>potential</v>
      </c>
      <c r="C200" t="str">
        <v>Lead</v>
      </c>
      <c r="D200" t="str">
        <v>CatOX</v>
      </c>
      <c r="E200" t="str">
        <v>NPI IS</v>
      </c>
      <c r="F200" t="str">
        <v>System 1</v>
      </c>
      <c r="G200" t="str">
        <v>Service engineer</v>
      </c>
      <c r="H200" t="str">
        <v>Judy Lee</v>
      </c>
      <c r="I200" s="20">
        <v>46539</v>
      </c>
      <c r="J200" s="20">
        <v>46722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1</v>
      </c>
      <c r="AG200" s="16">
        <v>1</v>
      </c>
      <c r="AH200" s="16">
        <v>1</v>
      </c>
      <c r="AI200" s="16">
        <v>1</v>
      </c>
      <c r="AJ200" s="16">
        <v>1</v>
      </c>
      <c r="AK200" s="16">
        <v>1</v>
      </c>
      <c r="AL200" s="16">
        <v>1</v>
      </c>
      <c r="AM200" s="16">
        <v>1</v>
      </c>
      <c r="AN200" s="16">
        <v>1</v>
      </c>
      <c r="AO200" s="16">
        <v>1</v>
      </c>
      <c r="AP200" s="16">
        <v>1</v>
      </c>
      <c r="AQ200" s="16">
        <v>1</v>
      </c>
      <c r="AR200" s="16">
        <v>1</v>
      </c>
      <c r="AS200" s="16">
        <v>1</v>
      </c>
      <c r="AT200" s="16">
        <v>1</v>
      </c>
      <c r="AU200" s="16">
        <v>1</v>
      </c>
      <c r="AV200" s="16">
        <v>1</v>
      </c>
      <c r="AW200" s="16">
        <v>1</v>
      </c>
      <c r="AX200" s="16">
        <v>0</v>
      </c>
      <c r="AY200" s="16">
        <v>0</v>
      </c>
      <c r="AZ200" s="16">
        <v>0</v>
      </c>
      <c r="BA200" s="16">
        <v>0</v>
      </c>
    </row>
    <row r="201" spans="1:53">
      <c r="A201">
        <v>10</v>
      </c>
      <c r="B201" t="str">
        <v>potential</v>
      </c>
      <c r="C201" t="str">
        <v>Lead</v>
      </c>
      <c r="D201" t="str">
        <v>CatOX</v>
      </c>
      <c r="E201" t="str">
        <v>NPI IS</v>
      </c>
      <c r="F201" t="str">
        <v>System 1</v>
      </c>
      <c r="G201" t="str">
        <v>Technician</v>
      </c>
      <c r="H201" t="str">
        <v>Robin Park</v>
      </c>
      <c r="I201" s="20">
        <v>46539</v>
      </c>
      <c r="J201" s="20">
        <v>46722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</row>
    <row r="202" spans="1:53">
      <c r="A202">
        <v>11</v>
      </c>
      <c r="B202" t="str">
        <v>potential</v>
      </c>
      <c r="C202" t="str">
        <v>Lead</v>
      </c>
      <c r="D202" t="str">
        <v>CatOX</v>
      </c>
      <c r="E202" t="str">
        <v>NPI IS</v>
      </c>
      <c r="F202" t="str">
        <v>Mechanical</v>
      </c>
      <c r="G202" t="str">
        <v>Leader</v>
      </c>
      <c r="H202" t="str">
        <v>Jeremy Park</v>
      </c>
      <c r="I202" s="20">
        <v>46539</v>
      </c>
      <c r="J202" s="20">
        <v>46722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0.3</v>
      </c>
      <c r="AA202" s="16">
        <v>0.3</v>
      </c>
      <c r="AB202" s="16">
        <v>0.3</v>
      </c>
      <c r="AC202" s="16">
        <v>0.3</v>
      </c>
      <c r="AD202" s="16">
        <v>0.3</v>
      </c>
      <c r="AE202" s="16">
        <v>0.3</v>
      </c>
      <c r="AF202" s="16">
        <v>0.3</v>
      </c>
      <c r="AG202" s="16">
        <v>0.3</v>
      </c>
      <c r="AH202" s="16">
        <v>0.3</v>
      </c>
      <c r="AI202" s="16">
        <v>0.3</v>
      </c>
      <c r="AJ202" s="16">
        <v>0.3</v>
      </c>
      <c r="AK202" s="16">
        <v>0.3</v>
      </c>
      <c r="AL202" s="16">
        <v>0.3</v>
      </c>
      <c r="AM202" s="16">
        <v>0.2</v>
      </c>
      <c r="AN202" s="16">
        <v>0.1</v>
      </c>
      <c r="AO202" s="16">
        <v>0.1</v>
      </c>
      <c r="AP202" s="16">
        <v>0.1</v>
      </c>
      <c r="AQ202" s="16">
        <v>0.1</v>
      </c>
      <c r="AR202" s="16">
        <v>0.1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</row>
    <row r="203" spans="1:53">
      <c r="A203">
        <v>12</v>
      </c>
      <c r="B203" t="str">
        <v>potential</v>
      </c>
      <c r="C203" t="str">
        <v>Lead</v>
      </c>
      <c r="D203" t="str">
        <v>CatOX</v>
      </c>
      <c r="E203" t="str">
        <v>NPI IS</v>
      </c>
      <c r="F203" t="str">
        <v>Mechanical</v>
      </c>
      <c r="G203" t="str">
        <v>Mechanical engineer</v>
      </c>
      <c r="H203" t="str">
        <v>Jiny Park</v>
      </c>
      <c r="I203" s="20">
        <v>46539</v>
      </c>
      <c r="J203" s="20">
        <v>46722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1</v>
      </c>
      <c r="AA203" s="16">
        <v>1</v>
      </c>
      <c r="AB203" s="16">
        <v>1</v>
      </c>
      <c r="AC203" s="16">
        <v>1</v>
      </c>
      <c r="AD203" s="16">
        <v>1</v>
      </c>
      <c r="AE203" s="16">
        <v>1</v>
      </c>
      <c r="AF203" s="16">
        <v>1</v>
      </c>
      <c r="AG203" s="16">
        <v>1</v>
      </c>
      <c r="AH203" s="16">
        <v>1</v>
      </c>
      <c r="AI203" s="16">
        <v>1</v>
      </c>
      <c r="AJ203" s="16">
        <v>1</v>
      </c>
      <c r="AK203" s="16">
        <v>1</v>
      </c>
      <c r="AL203" s="16">
        <v>1</v>
      </c>
      <c r="AM203" s="16">
        <v>1</v>
      </c>
      <c r="AN203" s="16">
        <v>1</v>
      </c>
      <c r="AO203" s="16">
        <v>1</v>
      </c>
      <c r="AP203" s="16">
        <v>1</v>
      </c>
      <c r="AQ203" s="16">
        <v>1</v>
      </c>
      <c r="AR203" s="16">
        <v>1</v>
      </c>
      <c r="AS203" s="16">
        <v>1</v>
      </c>
      <c r="AT203" s="16">
        <v>1</v>
      </c>
      <c r="AU203" s="16">
        <v>1</v>
      </c>
      <c r="AV203" s="16">
        <v>1</v>
      </c>
      <c r="AW203" s="16">
        <v>1</v>
      </c>
      <c r="AX203" s="16">
        <v>0</v>
      </c>
      <c r="AY203" s="16">
        <v>0</v>
      </c>
      <c r="AZ203" s="16">
        <v>0</v>
      </c>
      <c r="BA203" s="16">
        <v>0</v>
      </c>
    </row>
    <row r="204" spans="1:53">
      <c r="A204">
        <v>13</v>
      </c>
      <c r="B204" t="str">
        <v>potential</v>
      </c>
      <c r="C204" t="str">
        <v>Lead</v>
      </c>
      <c r="D204" t="str">
        <v>CatOX</v>
      </c>
      <c r="E204" t="str">
        <v>NPI IS</v>
      </c>
      <c r="F204" t="str">
        <v>Mechanical</v>
      </c>
      <c r="G204" t="str">
        <v>Mechanical engineer</v>
      </c>
      <c r="H204" t="str">
        <v>Mechanical engineer</v>
      </c>
      <c r="I204" s="20">
        <v>46539</v>
      </c>
      <c r="J204" s="20">
        <v>46722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</v>
      </c>
      <c r="AE204" s="16">
        <v>1</v>
      </c>
      <c r="AF204" s="16">
        <v>1</v>
      </c>
      <c r="AG204" s="16">
        <v>1</v>
      </c>
      <c r="AH204" s="16">
        <v>1</v>
      </c>
      <c r="AI204" s="16">
        <v>1</v>
      </c>
      <c r="AJ204" s="16">
        <v>1</v>
      </c>
      <c r="AK204" s="16">
        <v>1</v>
      </c>
      <c r="AL204" s="16">
        <v>1</v>
      </c>
      <c r="AM204" s="16">
        <v>1</v>
      </c>
      <c r="AN204" s="16">
        <v>1</v>
      </c>
      <c r="AO204" s="16">
        <v>1</v>
      </c>
      <c r="AP204" s="16">
        <v>1</v>
      </c>
      <c r="AQ204" s="16">
        <v>1</v>
      </c>
      <c r="AR204" s="16">
        <v>1</v>
      </c>
      <c r="AS204" s="16">
        <v>1</v>
      </c>
      <c r="AT204" s="16">
        <v>1</v>
      </c>
      <c r="AU204" s="16">
        <v>1</v>
      </c>
      <c r="AV204" s="16">
        <v>1</v>
      </c>
      <c r="AW204" s="16">
        <v>1</v>
      </c>
      <c r="AX204" s="16">
        <v>0</v>
      </c>
      <c r="AY204" s="16">
        <v>0</v>
      </c>
      <c r="AZ204" s="16">
        <v>0</v>
      </c>
      <c r="BA204" s="16">
        <v>0</v>
      </c>
    </row>
    <row r="205" spans="1:53">
      <c r="A205">
        <v>14</v>
      </c>
      <c r="B205" t="str">
        <v>potential</v>
      </c>
      <c r="C205" t="str">
        <v>Lead</v>
      </c>
      <c r="D205" t="str">
        <v>CatOX</v>
      </c>
      <c r="E205" t="str">
        <v>Control Eng.</v>
      </c>
      <c r="F205" t="str">
        <v>* Manager</v>
      </c>
      <c r="G205" t="str">
        <v>* Manager</v>
      </c>
      <c r="H205" t="str">
        <v>Mogen Seo</v>
      </c>
      <c r="I205" s="20">
        <v>46539</v>
      </c>
      <c r="J205" s="20">
        <v>46722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0.2</v>
      </c>
      <c r="AA205" s="16">
        <v>0.2</v>
      </c>
      <c r="AB205" s="16">
        <v>0.2</v>
      </c>
      <c r="AC205" s="16">
        <v>0.2</v>
      </c>
      <c r="AD205" s="16">
        <v>0.2</v>
      </c>
      <c r="AE205" s="16">
        <v>0.2</v>
      </c>
      <c r="AF205" s="16">
        <v>0.1</v>
      </c>
      <c r="AG205" s="16">
        <v>0.1</v>
      </c>
      <c r="AH205" s="16">
        <v>0.2</v>
      </c>
      <c r="AI205" s="16">
        <v>0.2</v>
      </c>
      <c r="AJ205" s="16">
        <v>0.2</v>
      </c>
      <c r="AK205" s="16">
        <v>0.2</v>
      </c>
      <c r="AL205" s="16">
        <v>0.2</v>
      </c>
      <c r="AM205" s="16">
        <v>0.2</v>
      </c>
      <c r="AN205" s="16">
        <v>0.2</v>
      </c>
      <c r="AO205" s="16">
        <v>0.2</v>
      </c>
      <c r="AP205" s="16">
        <v>0.2</v>
      </c>
      <c r="AQ205" s="16">
        <v>0.2</v>
      </c>
      <c r="AR205" s="16">
        <v>0.2</v>
      </c>
      <c r="AS205" s="16">
        <v>0.2</v>
      </c>
      <c r="AT205" s="16">
        <v>0.2</v>
      </c>
      <c r="AU205" s="16">
        <v>0.2</v>
      </c>
      <c r="AV205" s="16">
        <v>0.2</v>
      </c>
      <c r="AW205" s="16">
        <v>0.2</v>
      </c>
      <c r="AX205" s="16">
        <v>0</v>
      </c>
      <c r="AY205" s="16">
        <v>0</v>
      </c>
      <c r="AZ205" s="16">
        <v>0</v>
      </c>
      <c r="BA205" s="16">
        <v>0</v>
      </c>
    </row>
    <row r="206" spans="1:53">
      <c r="A206">
        <v>15</v>
      </c>
      <c r="B206" t="str">
        <v>potential</v>
      </c>
      <c r="C206" t="str">
        <v>Lead</v>
      </c>
      <c r="D206" t="str">
        <v>CatOX</v>
      </c>
      <c r="E206" t="str">
        <v>Control Eng.</v>
      </c>
      <c r="F206" t="str">
        <v>Software</v>
      </c>
      <c r="G206" t="str">
        <v>Leader</v>
      </c>
      <c r="H206" t="str">
        <v>Gerald Park</v>
      </c>
      <c r="I206" s="20">
        <v>46539</v>
      </c>
      <c r="J206" s="20">
        <v>46722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0.1</v>
      </c>
      <c r="AA206" s="16">
        <v>0.1</v>
      </c>
      <c r="AB206" s="16">
        <v>0.1</v>
      </c>
      <c r="AC206" s="16">
        <v>0.1</v>
      </c>
      <c r="AD206" s="16">
        <v>0.1</v>
      </c>
      <c r="AE206" s="16">
        <v>0.1</v>
      </c>
      <c r="AF206" s="16">
        <v>0.1</v>
      </c>
      <c r="AG206" s="16">
        <v>0.1</v>
      </c>
      <c r="AH206" s="16">
        <v>0.2</v>
      </c>
      <c r="AI206" s="16">
        <v>0.2</v>
      </c>
      <c r="AJ206" s="16">
        <v>0.2</v>
      </c>
      <c r="AK206" s="16">
        <v>0.2</v>
      </c>
      <c r="AL206" s="16">
        <v>0.2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</row>
    <row r="207" spans="1:53">
      <c r="A207">
        <v>16</v>
      </c>
      <c r="B207" t="str">
        <v>potential</v>
      </c>
      <c r="C207" t="str">
        <v>Lead</v>
      </c>
      <c r="D207" t="str">
        <v>CatOX</v>
      </c>
      <c r="E207" t="str">
        <v>Control Eng.</v>
      </c>
      <c r="F207" t="str">
        <v>Software</v>
      </c>
      <c r="G207" t="str">
        <v>Software engineer</v>
      </c>
      <c r="H207" t="str">
        <v>Software engineer</v>
      </c>
      <c r="I207" s="20">
        <v>46539</v>
      </c>
      <c r="J207" s="20">
        <v>46722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1</v>
      </c>
      <c r="AA207" s="16">
        <v>1</v>
      </c>
      <c r="AB207" s="16">
        <v>1</v>
      </c>
      <c r="AC207" s="16">
        <v>1</v>
      </c>
      <c r="AD207" s="16">
        <v>1</v>
      </c>
      <c r="AE207" s="16">
        <v>1</v>
      </c>
      <c r="AF207" s="16">
        <v>1</v>
      </c>
      <c r="AG207" s="16">
        <v>1</v>
      </c>
      <c r="AH207" s="16">
        <v>1</v>
      </c>
      <c r="AI207" s="16">
        <v>1</v>
      </c>
      <c r="AJ207" s="16">
        <v>1</v>
      </c>
      <c r="AK207" s="16">
        <v>1</v>
      </c>
      <c r="AL207" s="16">
        <v>1</v>
      </c>
      <c r="AM207" s="16">
        <v>1</v>
      </c>
      <c r="AN207" s="16">
        <v>1</v>
      </c>
      <c r="AO207" s="16">
        <v>1</v>
      </c>
      <c r="AP207" s="16">
        <v>1</v>
      </c>
      <c r="AQ207" s="16">
        <v>1</v>
      </c>
      <c r="AR207" s="16">
        <v>1</v>
      </c>
      <c r="AS207" s="16">
        <v>1</v>
      </c>
      <c r="AT207" s="16">
        <v>1</v>
      </c>
      <c r="AU207" s="16">
        <v>1</v>
      </c>
      <c r="AV207" s="16">
        <v>1</v>
      </c>
      <c r="AW207" s="16">
        <v>1</v>
      </c>
      <c r="AX207" s="16">
        <v>0</v>
      </c>
      <c r="AY207" s="16">
        <v>0</v>
      </c>
      <c r="AZ207" s="16">
        <v>0</v>
      </c>
      <c r="BA207" s="16">
        <v>0</v>
      </c>
    </row>
    <row r="208" spans="1:53">
      <c r="A208">
        <v>17</v>
      </c>
      <c r="B208" t="str">
        <v>potential</v>
      </c>
      <c r="C208" t="str">
        <v>Lead</v>
      </c>
      <c r="D208" t="str">
        <v>CatOX</v>
      </c>
      <c r="E208" t="str">
        <v>Control Eng.</v>
      </c>
      <c r="F208" t="str">
        <v>Software</v>
      </c>
      <c r="G208" t="str">
        <v>Software engineer</v>
      </c>
      <c r="H208" t="str">
        <v>Software engineer</v>
      </c>
      <c r="I208" s="20">
        <v>46539</v>
      </c>
      <c r="J208" s="20">
        <v>46722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0.5</v>
      </c>
      <c r="AA208" s="16">
        <v>0.5</v>
      </c>
      <c r="AB208" s="16">
        <v>0.5</v>
      </c>
      <c r="AC208" s="16">
        <v>0.5</v>
      </c>
      <c r="AD208" s="16">
        <v>0.5</v>
      </c>
      <c r="AE208" s="16">
        <v>0.5</v>
      </c>
      <c r="AF208" s="16">
        <v>0.5</v>
      </c>
      <c r="AG208" s="16">
        <v>0.5</v>
      </c>
      <c r="AH208" s="16">
        <v>0.5</v>
      </c>
      <c r="AI208" s="16">
        <v>0.5</v>
      </c>
      <c r="AJ208" s="16">
        <v>0.5</v>
      </c>
      <c r="AK208" s="16">
        <v>0.5</v>
      </c>
      <c r="AL208" s="16">
        <v>0.5</v>
      </c>
      <c r="AM208" s="16">
        <v>0.5</v>
      </c>
      <c r="AN208" s="16">
        <v>0.5</v>
      </c>
      <c r="AO208" s="16">
        <v>0.5</v>
      </c>
      <c r="AP208" s="16">
        <v>0.5</v>
      </c>
      <c r="AQ208" s="16">
        <v>0.5</v>
      </c>
      <c r="AR208" s="16">
        <v>0.5</v>
      </c>
      <c r="AS208" s="16">
        <v>0.5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</row>
    <row r="209" spans="1:53">
      <c r="A209">
        <v>18</v>
      </c>
      <c r="B209" t="str">
        <v>potential</v>
      </c>
      <c r="C209" t="str">
        <v>Lead</v>
      </c>
      <c r="D209" t="str">
        <v>CatOX</v>
      </c>
      <c r="E209" t="str">
        <v>Control Eng.</v>
      </c>
      <c r="F209" t="str">
        <v>Software</v>
      </c>
      <c r="G209" t="str">
        <v>SW test engineer</v>
      </c>
      <c r="H209" t="str">
        <v>SW test engineer</v>
      </c>
      <c r="I209" s="20">
        <v>46539</v>
      </c>
      <c r="J209" s="20">
        <v>46722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1</v>
      </c>
      <c r="AH209" s="16">
        <v>1</v>
      </c>
      <c r="AI209" s="16">
        <v>1</v>
      </c>
      <c r="AJ209" s="16">
        <v>1</v>
      </c>
      <c r="AK209" s="16">
        <v>1</v>
      </c>
      <c r="AL209" s="16">
        <v>1</v>
      </c>
      <c r="AM209" s="16">
        <v>1</v>
      </c>
      <c r="AN209" s="16">
        <v>1</v>
      </c>
      <c r="AO209" s="16">
        <v>1</v>
      </c>
      <c r="AP209" s="16">
        <v>1</v>
      </c>
      <c r="AQ209" s="16">
        <v>1</v>
      </c>
      <c r="AR209" s="16">
        <v>1</v>
      </c>
      <c r="AS209" s="16">
        <v>1</v>
      </c>
      <c r="AT209" s="16">
        <v>1</v>
      </c>
      <c r="AU209" s="16">
        <v>1</v>
      </c>
      <c r="AV209" s="16">
        <v>1</v>
      </c>
      <c r="AW209" s="16">
        <v>1</v>
      </c>
      <c r="AX209" s="16">
        <v>0</v>
      </c>
      <c r="AY209" s="16">
        <v>0</v>
      </c>
      <c r="AZ209" s="16">
        <v>0</v>
      </c>
      <c r="BA209" s="16">
        <v>0</v>
      </c>
    </row>
    <row r="210" spans="1:53">
      <c r="A210">
        <v>19</v>
      </c>
      <c r="B210" t="str">
        <v>potential</v>
      </c>
      <c r="C210" t="str">
        <v>Lead</v>
      </c>
      <c r="D210" t="str">
        <v>CatOX</v>
      </c>
      <c r="E210" t="str">
        <v>Control Eng.</v>
      </c>
      <c r="F210" t="str">
        <v>Electrical</v>
      </c>
      <c r="G210" t="str">
        <v>Leader</v>
      </c>
      <c r="H210" t="str">
        <v>Joshua Im</v>
      </c>
      <c r="I210" s="20">
        <v>46539</v>
      </c>
      <c r="J210" s="20">
        <v>46722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0.2</v>
      </c>
      <c r="AA210" s="16">
        <v>0.2</v>
      </c>
      <c r="AB210" s="16">
        <v>0.2</v>
      </c>
      <c r="AC210" s="16">
        <v>0.2</v>
      </c>
      <c r="AD210" s="16">
        <v>0.2</v>
      </c>
      <c r="AE210" s="16">
        <v>0.2</v>
      </c>
      <c r="AF210" s="16">
        <v>0.2</v>
      </c>
      <c r="AG210" s="16">
        <v>0.2</v>
      </c>
      <c r="AH210" s="16">
        <v>0.2</v>
      </c>
      <c r="AI210" s="16">
        <v>0.2</v>
      </c>
      <c r="AJ210" s="16">
        <v>0.2</v>
      </c>
      <c r="AK210" s="16">
        <v>0.2</v>
      </c>
      <c r="AL210" s="16">
        <v>0.2</v>
      </c>
      <c r="AM210" s="16">
        <v>0.2</v>
      </c>
      <c r="AN210" s="16">
        <v>0.2</v>
      </c>
      <c r="AO210" s="16">
        <v>0.2</v>
      </c>
      <c r="AP210" s="16">
        <v>0.2</v>
      </c>
      <c r="AQ210" s="16">
        <v>0.2</v>
      </c>
      <c r="AR210" s="16">
        <v>0.2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</row>
    <row r="211" spans="1:53">
      <c r="A211">
        <v>20</v>
      </c>
      <c r="B211" t="str">
        <v>potential</v>
      </c>
      <c r="C211" t="str">
        <v>Lead</v>
      </c>
      <c r="D211" t="str">
        <v>CatOX</v>
      </c>
      <c r="E211" t="str">
        <v>Control Eng.</v>
      </c>
      <c r="F211" t="str">
        <v>Electrical</v>
      </c>
      <c r="G211" t="str">
        <v>Electrical engineer</v>
      </c>
      <c r="H211" t="str">
        <v>Hana Lee</v>
      </c>
      <c r="I211" s="20">
        <v>46539</v>
      </c>
      <c r="J211" s="20">
        <v>46722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0.5</v>
      </c>
      <c r="AA211" s="16">
        <v>0.5</v>
      </c>
      <c r="AB211" s="16">
        <v>0.5</v>
      </c>
      <c r="AC211" s="16">
        <v>0.5</v>
      </c>
      <c r="AD211" s="16">
        <v>1</v>
      </c>
      <c r="AE211" s="16">
        <v>1</v>
      </c>
      <c r="AF211" s="16">
        <v>1</v>
      </c>
      <c r="AG211" s="16">
        <v>1</v>
      </c>
      <c r="AH211" s="16">
        <v>1</v>
      </c>
      <c r="AI211" s="16">
        <v>1</v>
      </c>
      <c r="AJ211" s="16">
        <v>1</v>
      </c>
      <c r="AK211" s="16">
        <v>1</v>
      </c>
      <c r="AL211" s="16">
        <v>1</v>
      </c>
      <c r="AM211" s="16">
        <v>1</v>
      </c>
      <c r="AN211" s="16">
        <v>1</v>
      </c>
      <c r="AO211" s="16">
        <v>1</v>
      </c>
      <c r="AP211" s="16">
        <v>1</v>
      </c>
      <c r="AQ211" s="16">
        <v>1</v>
      </c>
      <c r="AR211" s="16">
        <v>1</v>
      </c>
      <c r="AS211" s="16">
        <v>1</v>
      </c>
      <c r="AT211" s="16">
        <v>1</v>
      </c>
      <c r="AU211" s="16">
        <v>1</v>
      </c>
      <c r="AV211" s="16">
        <v>1</v>
      </c>
      <c r="AW211" s="16">
        <v>1</v>
      </c>
      <c r="AX211" s="16">
        <v>0</v>
      </c>
      <c r="AY211" s="16">
        <v>0</v>
      </c>
      <c r="AZ211" s="16">
        <v>0</v>
      </c>
      <c r="BA211" s="16">
        <v>0</v>
      </c>
    </row>
    <row r="212" spans="1:53">
      <c r="A212">
        <v>21</v>
      </c>
      <c r="B212" t="str">
        <v>potential</v>
      </c>
      <c r="C212" t="str">
        <v>Lead</v>
      </c>
      <c r="D212" t="str">
        <v>CatOX</v>
      </c>
      <c r="E212" t="str">
        <v>Control Eng.</v>
      </c>
      <c r="F212" t="str">
        <v>Electrical</v>
      </c>
      <c r="G212" t="str">
        <v>Electrical engineer</v>
      </c>
      <c r="H212" t="str">
        <v>Electrical engineer</v>
      </c>
      <c r="I212" s="20">
        <v>46539</v>
      </c>
      <c r="J212" s="20">
        <v>46722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0.5</v>
      </c>
      <c r="AG212" s="16">
        <v>0.5</v>
      </c>
      <c r="AH212" s="16">
        <v>0.5</v>
      </c>
      <c r="AI212" s="16">
        <v>0.5</v>
      </c>
      <c r="AJ212" s="16">
        <v>0.5</v>
      </c>
      <c r="AK212" s="16">
        <v>0.5</v>
      </c>
      <c r="AL212" s="16">
        <v>0.5</v>
      </c>
      <c r="AM212" s="16">
        <v>0.5</v>
      </c>
      <c r="AN212" s="16">
        <v>0.5</v>
      </c>
      <c r="AO212" s="16">
        <v>0.5</v>
      </c>
      <c r="AP212" s="16">
        <v>0.5</v>
      </c>
      <c r="AQ212" s="16">
        <v>0.5</v>
      </c>
      <c r="AR212" s="16">
        <v>0.5</v>
      </c>
      <c r="AS212" s="16">
        <v>0.5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</row>
    <row r="213" spans="1:53">
      <c r="A213">
        <v>22</v>
      </c>
      <c r="B213" t="str">
        <v>potential</v>
      </c>
      <c r="C213" t="str">
        <v>Lead</v>
      </c>
      <c r="D213" t="str">
        <v>CatOX</v>
      </c>
      <c r="E213">
        <v>0</v>
      </c>
      <c r="F213">
        <v>0</v>
      </c>
      <c r="G213">
        <v>0</v>
      </c>
      <c r="H213" t="str">
        <v>Gate Plan</v>
      </c>
      <c r="I213" s="20">
        <v>46539</v>
      </c>
      <c r="J213" s="20">
        <v>46722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 t="str">
        <v>G1</v>
      </c>
      <c r="AB213" s="16">
        <v>0</v>
      </c>
      <c r="AC213" s="16" t="str">
        <v>G2</v>
      </c>
      <c r="AD213" s="16">
        <v>0</v>
      </c>
      <c r="AE213" s="16">
        <v>0</v>
      </c>
      <c r="AF213" s="16">
        <v>0</v>
      </c>
      <c r="AG213" s="16" t="str">
        <v>G3</v>
      </c>
      <c r="AH213" s="16">
        <v>0</v>
      </c>
      <c r="AI213" s="16">
        <v>0</v>
      </c>
      <c r="AJ213" s="16">
        <v>0</v>
      </c>
      <c r="AK213" s="16">
        <v>0</v>
      </c>
      <c r="AL213" s="16" t="str">
        <v>G4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 t="str">
        <v>G5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 t="str">
        <v>G6</v>
      </c>
      <c r="AY213" s="16">
        <v>0</v>
      </c>
      <c r="AZ213" s="16">
        <v>0</v>
      </c>
      <c r="BA213" s="16">
        <v>0</v>
      </c>
    </row>
    <row r="214" spans="1:53">
      <c r="A214">
        <v>1</v>
      </c>
      <c r="B214" t="str">
        <v>Plan</v>
      </c>
      <c r="C214" t="str">
        <v>Lead</v>
      </c>
      <c r="D214" t="str">
        <v>Kanara</v>
      </c>
      <c r="E214" t="str">
        <v>Engineering</v>
      </c>
      <c r="F214" t="str">
        <v>* Manager</v>
      </c>
      <c r="G214" t="str">
        <v>* Eng Manager</v>
      </c>
      <c r="H214" t="str">
        <v>JiYoung Son</v>
      </c>
      <c r="I214" s="20">
        <v>46598</v>
      </c>
      <c r="J214" s="20">
        <v>46748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0.1</v>
      </c>
      <c r="Y214" s="16">
        <v>0.1</v>
      </c>
      <c r="Z214" s="16">
        <v>0.1</v>
      </c>
      <c r="AA214" s="16">
        <v>0.1</v>
      </c>
      <c r="AB214" s="16">
        <v>0.1</v>
      </c>
      <c r="AC214" s="16">
        <v>0.1</v>
      </c>
      <c r="AD214" s="16">
        <v>0.1</v>
      </c>
      <c r="AE214" s="16">
        <v>0.1</v>
      </c>
      <c r="AF214" s="16">
        <v>0.1</v>
      </c>
      <c r="AG214" s="16">
        <v>0.1</v>
      </c>
      <c r="AH214" s="16">
        <v>0.1</v>
      </c>
      <c r="AI214" s="16">
        <v>0.1</v>
      </c>
      <c r="AJ214" s="16">
        <v>0.1</v>
      </c>
      <c r="AK214" s="16">
        <v>0.1</v>
      </c>
      <c r="AL214" s="16">
        <v>0.1</v>
      </c>
      <c r="AM214" s="16">
        <v>0.1</v>
      </c>
      <c r="AN214" s="16">
        <v>0.1</v>
      </c>
      <c r="AO214" s="16">
        <v>0.1</v>
      </c>
      <c r="AP214" s="16">
        <v>0.1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</row>
    <row r="215" spans="1:53">
      <c r="A215">
        <v>2</v>
      </c>
      <c r="B215" t="str">
        <v>Plan</v>
      </c>
      <c r="C215" t="str">
        <v>Lead</v>
      </c>
      <c r="D215" t="str">
        <v>Kanara</v>
      </c>
      <c r="E215" t="str">
        <v>PMO</v>
      </c>
      <c r="F215" t="str">
        <v>* Manager</v>
      </c>
      <c r="G215" t="str">
        <v>* Manager</v>
      </c>
      <c r="H215" t="str">
        <v>Jinney Lee</v>
      </c>
      <c r="I215" s="20">
        <v>46598</v>
      </c>
      <c r="J215" s="20">
        <v>46748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0.2</v>
      </c>
      <c r="Y215" s="16">
        <v>0.2</v>
      </c>
      <c r="Z215" s="16">
        <v>0.2</v>
      </c>
      <c r="AA215" s="16">
        <v>0.2</v>
      </c>
      <c r="AB215" s="16">
        <v>0.2</v>
      </c>
      <c r="AC215" s="16">
        <v>0.2</v>
      </c>
      <c r="AD215" s="16">
        <v>0.2</v>
      </c>
      <c r="AE215" s="16">
        <v>0.2</v>
      </c>
      <c r="AF215" s="16">
        <v>0.2</v>
      </c>
      <c r="AG215" s="16">
        <v>0.2</v>
      </c>
      <c r="AH215" s="16">
        <v>0.2</v>
      </c>
      <c r="AI215" s="16">
        <v>0.2</v>
      </c>
      <c r="AJ215" s="16">
        <v>0.2</v>
      </c>
      <c r="AK215" s="16">
        <v>0.2</v>
      </c>
      <c r="AL215" s="16">
        <v>0.1</v>
      </c>
      <c r="AM215" s="16">
        <v>0.1</v>
      </c>
      <c r="AN215" s="16">
        <v>0.1</v>
      </c>
      <c r="AO215" s="16">
        <v>0.1</v>
      </c>
      <c r="AP215" s="16">
        <v>0.1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</row>
    <row r="216" spans="1:53">
      <c r="A216">
        <v>3</v>
      </c>
      <c r="B216" t="str">
        <v>Plan</v>
      </c>
      <c r="C216" t="str">
        <v>Lead</v>
      </c>
      <c r="D216" t="str">
        <v>Kanara</v>
      </c>
      <c r="E216" t="str">
        <v>PMO</v>
      </c>
      <c r="F216" t="str">
        <v>PM</v>
      </c>
      <c r="G216" t="str">
        <v>PM</v>
      </c>
      <c r="H216" t="str">
        <v>Project manager</v>
      </c>
      <c r="I216" s="20">
        <v>46598</v>
      </c>
      <c r="J216" s="20">
        <v>46748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0.5</v>
      </c>
      <c r="Y216" s="16">
        <v>1</v>
      </c>
      <c r="Z216" s="16">
        <v>1</v>
      </c>
      <c r="AA216" s="16">
        <v>1</v>
      </c>
      <c r="AB216" s="16">
        <v>1</v>
      </c>
      <c r="AC216" s="16">
        <v>1</v>
      </c>
      <c r="AD216" s="16">
        <v>1</v>
      </c>
      <c r="AE216" s="16">
        <v>1</v>
      </c>
      <c r="AF216" s="16">
        <v>1</v>
      </c>
      <c r="AG216" s="16">
        <v>1</v>
      </c>
      <c r="AH216" s="16">
        <v>1</v>
      </c>
      <c r="AI216" s="16">
        <v>1</v>
      </c>
      <c r="AJ216" s="16">
        <v>1</v>
      </c>
      <c r="AK216" s="16">
        <v>1</v>
      </c>
      <c r="AL216" s="16">
        <v>1</v>
      </c>
      <c r="AM216" s="16">
        <v>0.5</v>
      </c>
      <c r="AN216" s="16">
        <v>0.5</v>
      </c>
      <c r="AO216" s="16">
        <v>0.5</v>
      </c>
      <c r="AP216" s="16">
        <v>0.5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</row>
    <row r="217" spans="1:53">
      <c r="A217">
        <v>4</v>
      </c>
      <c r="B217" t="str">
        <v>Plan</v>
      </c>
      <c r="C217" t="str">
        <v>Lead</v>
      </c>
      <c r="D217" t="str">
        <v>Kanara</v>
      </c>
      <c r="E217" t="str">
        <v>NPI IS</v>
      </c>
      <c r="F217" t="str">
        <v>* Manager</v>
      </c>
      <c r="G217" t="str">
        <v>* Manager</v>
      </c>
      <c r="H217" t="str">
        <v>Dorothy Noh</v>
      </c>
      <c r="I217" s="20">
        <v>46598</v>
      </c>
      <c r="J217" s="20">
        <v>46748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0.1</v>
      </c>
      <c r="Y217" s="16">
        <v>0.1</v>
      </c>
      <c r="Z217" s="16">
        <v>0.2</v>
      </c>
      <c r="AA217" s="16">
        <v>0.2</v>
      </c>
      <c r="AB217" s="16">
        <v>0.2</v>
      </c>
      <c r="AC217" s="16">
        <v>0.2</v>
      </c>
      <c r="AD217" s="16">
        <v>0.2</v>
      </c>
      <c r="AE217" s="16">
        <v>0.2</v>
      </c>
      <c r="AF217" s="16">
        <v>0.2</v>
      </c>
      <c r="AG217" s="16">
        <v>0.2</v>
      </c>
      <c r="AH217" s="16">
        <v>0.2</v>
      </c>
      <c r="AI217" s="16">
        <v>0.2</v>
      </c>
      <c r="AJ217" s="16">
        <v>0.2</v>
      </c>
      <c r="AK217" s="16">
        <v>0.2</v>
      </c>
      <c r="AL217" s="16">
        <v>0.1</v>
      </c>
      <c r="AM217" s="16">
        <v>0.1</v>
      </c>
      <c r="AN217" s="16">
        <v>0.1</v>
      </c>
      <c r="AO217" s="16">
        <v>0.1</v>
      </c>
      <c r="AP217" s="16">
        <v>0.1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</row>
    <row r="218" spans="1:53">
      <c r="A218">
        <v>5</v>
      </c>
      <c r="B218" t="str">
        <v>Plan</v>
      </c>
      <c r="C218" t="str">
        <v>Lead</v>
      </c>
      <c r="D218" t="str">
        <v>Kanara</v>
      </c>
      <c r="E218" t="str">
        <v>NPI IS</v>
      </c>
      <c r="F218" t="str">
        <v>System □</v>
      </c>
      <c r="G218" t="str">
        <v>Leader</v>
      </c>
      <c r="H218" t="str">
        <v>Tech Lead</v>
      </c>
      <c r="I218" s="20">
        <v>46598</v>
      </c>
      <c r="J218" s="20">
        <v>46748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0.5</v>
      </c>
      <c r="Y218" s="16">
        <v>1</v>
      </c>
      <c r="Z218" s="16">
        <v>1</v>
      </c>
      <c r="AA218" s="16">
        <v>1</v>
      </c>
      <c r="AB218" s="16">
        <v>1</v>
      </c>
      <c r="AC218" s="16">
        <v>1</v>
      </c>
      <c r="AD218" s="16">
        <v>1</v>
      </c>
      <c r="AE218" s="16">
        <v>1</v>
      </c>
      <c r="AF218" s="16">
        <v>1</v>
      </c>
      <c r="AG218" s="16">
        <v>1</v>
      </c>
      <c r="AH218" s="16">
        <v>1</v>
      </c>
      <c r="AI218" s="16">
        <v>1</v>
      </c>
      <c r="AJ218" s="16">
        <v>1</v>
      </c>
      <c r="AK218" s="16">
        <v>1</v>
      </c>
      <c r="AL218" s="16">
        <v>1</v>
      </c>
      <c r="AM218" s="16">
        <v>1</v>
      </c>
      <c r="AN218" s="16">
        <v>1</v>
      </c>
      <c r="AO218" s="16">
        <v>1</v>
      </c>
      <c r="AP218" s="16">
        <v>1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</row>
    <row r="219" spans="1:53">
      <c r="A219">
        <v>6</v>
      </c>
      <c r="B219" t="str">
        <v>Plan</v>
      </c>
      <c r="C219" t="str">
        <v>Lead</v>
      </c>
      <c r="D219" t="str">
        <v>Kanara</v>
      </c>
      <c r="E219" t="str">
        <v>NPI IS</v>
      </c>
      <c r="F219" t="str">
        <v>System □</v>
      </c>
      <c r="G219" t="str">
        <v>System engineer</v>
      </c>
      <c r="H219" t="str">
        <v>System engineer</v>
      </c>
      <c r="I219" s="20">
        <v>46598</v>
      </c>
      <c r="J219" s="20">
        <v>46748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1</v>
      </c>
      <c r="Y219" s="16">
        <v>1</v>
      </c>
      <c r="Z219" s="16">
        <v>1</v>
      </c>
      <c r="AA219" s="16">
        <v>1</v>
      </c>
      <c r="AB219" s="16">
        <v>1</v>
      </c>
      <c r="AC219" s="16">
        <v>1</v>
      </c>
      <c r="AD219" s="16">
        <v>1</v>
      </c>
      <c r="AE219" s="16">
        <v>1</v>
      </c>
      <c r="AF219" s="16">
        <v>1</v>
      </c>
      <c r="AG219" s="16">
        <v>1</v>
      </c>
      <c r="AH219" s="16">
        <v>1</v>
      </c>
      <c r="AI219" s="16">
        <v>1</v>
      </c>
      <c r="AJ219" s="16">
        <v>1</v>
      </c>
      <c r="AK219" s="16">
        <v>1</v>
      </c>
      <c r="AL219" s="16">
        <v>1</v>
      </c>
      <c r="AM219" s="16">
        <v>1</v>
      </c>
      <c r="AN219" s="16">
        <v>1</v>
      </c>
      <c r="AO219" s="16">
        <v>1</v>
      </c>
      <c r="AP219" s="16">
        <v>1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</row>
    <row r="220" spans="1:53">
      <c r="A220">
        <v>7</v>
      </c>
      <c r="B220" t="str">
        <v>Plan</v>
      </c>
      <c r="C220" t="str">
        <v>Lead</v>
      </c>
      <c r="D220" t="str">
        <v>Kanara</v>
      </c>
      <c r="E220" t="str">
        <v>NPI IS</v>
      </c>
      <c r="F220" t="str">
        <v>System □</v>
      </c>
      <c r="G220" t="str">
        <v>System engineer</v>
      </c>
      <c r="H220" t="str">
        <v>System engineer</v>
      </c>
      <c r="I220" s="20">
        <v>46598</v>
      </c>
      <c r="J220" s="20">
        <v>46748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P220" s="16">
        <v>1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</row>
    <row r="221" spans="1:53">
      <c r="A221">
        <v>8</v>
      </c>
      <c r="B221" t="str">
        <v>Plan</v>
      </c>
      <c r="C221" t="str">
        <v>Lead</v>
      </c>
      <c r="D221" t="str">
        <v>Kanara</v>
      </c>
      <c r="E221" t="str">
        <v>NPI IS</v>
      </c>
      <c r="F221" t="str">
        <v>System □</v>
      </c>
      <c r="G221" t="str">
        <v>System engineer</v>
      </c>
      <c r="H221" t="str">
        <v>System engineer</v>
      </c>
      <c r="I221" s="20">
        <v>46598</v>
      </c>
      <c r="J221" s="20">
        <v>46748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1</v>
      </c>
      <c r="AB221" s="16">
        <v>1</v>
      </c>
      <c r="AC221" s="16">
        <v>1</v>
      </c>
      <c r="AD221" s="16">
        <v>1</v>
      </c>
      <c r="AE221" s="16">
        <v>1</v>
      </c>
      <c r="AF221" s="16">
        <v>1</v>
      </c>
      <c r="AG221" s="16">
        <v>1</v>
      </c>
      <c r="AH221" s="16">
        <v>1</v>
      </c>
      <c r="AI221" s="16">
        <v>1</v>
      </c>
      <c r="AJ221" s="16">
        <v>1</v>
      </c>
      <c r="AK221" s="16">
        <v>1</v>
      </c>
      <c r="AL221" s="16">
        <v>1</v>
      </c>
      <c r="AM221" s="16">
        <v>1</v>
      </c>
      <c r="AN221" s="16">
        <v>1</v>
      </c>
      <c r="AO221" s="16">
        <v>1</v>
      </c>
      <c r="AP221" s="16">
        <v>1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</row>
    <row r="222" spans="1:53">
      <c r="A222">
        <v>9</v>
      </c>
      <c r="B222" t="str">
        <v>Plan</v>
      </c>
      <c r="C222" t="str">
        <v>Lead</v>
      </c>
      <c r="D222" t="str">
        <v>Kanara</v>
      </c>
      <c r="E222" t="str">
        <v>NPI IS</v>
      </c>
      <c r="F222" t="str">
        <v>System □</v>
      </c>
      <c r="G222" t="str">
        <v>Service engineer</v>
      </c>
      <c r="H222" t="str">
        <v>Service engineer</v>
      </c>
      <c r="I222" s="20">
        <v>46598</v>
      </c>
      <c r="J222" s="20">
        <v>46748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1</v>
      </c>
      <c r="AB222" s="16">
        <v>1</v>
      </c>
      <c r="AC222" s="16">
        <v>1</v>
      </c>
      <c r="AD222" s="16">
        <v>1</v>
      </c>
      <c r="AE222" s="16">
        <v>1</v>
      </c>
      <c r="AF222" s="16">
        <v>1</v>
      </c>
      <c r="AG222" s="16">
        <v>1</v>
      </c>
      <c r="AH222" s="16">
        <v>1</v>
      </c>
      <c r="AI222" s="16">
        <v>1</v>
      </c>
      <c r="AJ222" s="16">
        <v>1</v>
      </c>
      <c r="AK222" s="16">
        <v>1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</row>
    <row r="223" spans="1:53">
      <c r="A223">
        <v>11</v>
      </c>
      <c r="B223" t="str">
        <v>Plan</v>
      </c>
      <c r="C223" t="str">
        <v>Lead</v>
      </c>
      <c r="D223" t="str">
        <v>Kanara</v>
      </c>
      <c r="E223" t="str">
        <v>NPI IS</v>
      </c>
      <c r="F223" t="str">
        <v>Mechanical</v>
      </c>
      <c r="G223" t="str">
        <v>Leader</v>
      </c>
      <c r="H223" t="str">
        <v>Jeremy Park</v>
      </c>
      <c r="I223" s="20">
        <v>46598</v>
      </c>
      <c r="J223" s="20">
        <v>46748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0.1</v>
      </c>
      <c r="Y223" s="16">
        <v>0.1</v>
      </c>
      <c r="Z223" s="16">
        <v>0.2</v>
      </c>
      <c r="AA223" s="16">
        <v>0.2</v>
      </c>
      <c r="AB223" s="16">
        <v>0.2</v>
      </c>
      <c r="AC223" s="16">
        <v>0.2</v>
      </c>
      <c r="AD223" s="16">
        <v>0.2</v>
      </c>
      <c r="AE223" s="16">
        <v>0.2</v>
      </c>
      <c r="AF223" s="16">
        <v>0.2</v>
      </c>
      <c r="AG223" s="16">
        <v>0.2</v>
      </c>
      <c r="AH223" s="16">
        <v>0.2</v>
      </c>
      <c r="AI223" s="16">
        <v>0.2</v>
      </c>
      <c r="AJ223" s="16">
        <v>0.2</v>
      </c>
      <c r="AK223" s="16">
        <v>0.2</v>
      </c>
      <c r="AL223" s="16">
        <v>0.2</v>
      </c>
      <c r="AM223" s="16">
        <v>0.2</v>
      </c>
      <c r="AN223" s="16">
        <v>0.2</v>
      </c>
      <c r="AO223" s="16">
        <v>0.2</v>
      </c>
      <c r="AP223" s="16">
        <v>0.2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</row>
    <row r="224" spans="1:53">
      <c r="A224">
        <v>12</v>
      </c>
      <c r="B224" t="str">
        <v>Plan</v>
      </c>
      <c r="C224" t="str">
        <v>Lead</v>
      </c>
      <c r="D224" t="str">
        <v>Kanara</v>
      </c>
      <c r="E224" t="str">
        <v>NPI IS</v>
      </c>
      <c r="F224" t="str">
        <v>Mechanical</v>
      </c>
      <c r="G224" t="str">
        <v>Mechanical engineer</v>
      </c>
      <c r="H224" t="str">
        <v>Mechanical engineer</v>
      </c>
      <c r="I224" s="20">
        <v>46598</v>
      </c>
      <c r="J224" s="20">
        <v>46748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1</v>
      </c>
      <c r="Y224" s="16">
        <v>1</v>
      </c>
      <c r="Z224" s="16">
        <v>1</v>
      </c>
      <c r="AA224" s="16">
        <v>1</v>
      </c>
      <c r="AB224" s="16">
        <v>1</v>
      </c>
      <c r="AC224" s="16">
        <v>1</v>
      </c>
      <c r="AD224" s="16">
        <v>1</v>
      </c>
      <c r="AE224" s="16">
        <v>1</v>
      </c>
      <c r="AF224" s="16">
        <v>1</v>
      </c>
      <c r="AG224" s="16">
        <v>1</v>
      </c>
      <c r="AH224" s="16">
        <v>1</v>
      </c>
      <c r="AI224" s="16">
        <v>1</v>
      </c>
      <c r="AJ224" s="16">
        <v>1</v>
      </c>
      <c r="AK224" s="16">
        <v>1</v>
      </c>
      <c r="AL224" s="16">
        <v>1</v>
      </c>
      <c r="AM224" s="16">
        <v>1</v>
      </c>
      <c r="AN224" s="16">
        <v>1</v>
      </c>
      <c r="AO224" s="16">
        <v>1</v>
      </c>
      <c r="AP224" s="16">
        <v>1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</row>
    <row r="225" spans="1:53">
      <c r="A225">
        <v>13</v>
      </c>
      <c r="B225" t="str">
        <v>Plan</v>
      </c>
      <c r="C225" t="str">
        <v>Lead</v>
      </c>
      <c r="D225" t="str">
        <v>Kanara</v>
      </c>
      <c r="E225" t="str">
        <v>NPI IS</v>
      </c>
      <c r="F225" t="str">
        <v>Mechanical</v>
      </c>
      <c r="G225" t="str">
        <v>Mechanical engineer</v>
      </c>
      <c r="H225" t="str">
        <v>Mechanical engineer</v>
      </c>
      <c r="I225" s="20">
        <v>46598</v>
      </c>
      <c r="J225" s="20">
        <v>46748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1</v>
      </c>
      <c r="AB225" s="16">
        <v>1</v>
      </c>
      <c r="AC225" s="16">
        <v>1</v>
      </c>
      <c r="AD225" s="16">
        <v>1</v>
      </c>
      <c r="AE225" s="16">
        <v>1</v>
      </c>
      <c r="AF225" s="16">
        <v>1</v>
      </c>
      <c r="AG225" s="16">
        <v>1</v>
      </c>
      <c r="AH225" s="16">
        <v>1</v>
      </c>
      <c r="AI225" s="16">
        <v>1</v>
      </c>
      <c r="AJ225" s="16">
        <v>1</v>
      </c>
      <c r="AK225" s="16">
        <v>1</v>
      </c>
      <c r="AL225" s="16">
        <v>1</v>
      </c>
      <c r="AM225" s="16">
        <v>1</v>
      </c>
      <c r="AN225" s="16">
        <v>1</v>
      </c>
      <c r="AO225" s="16">
        <v>1</v>
      </c>
      <c r="AP225" s="16">
        <v>1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</row>
    <row r="226" spans="1:53">
      <c r="A226">
        <v>14</v>
      </c>
      <c r="B226" t="str">
        <v>Plan</v>
      </c>
      <c r="C226" t="str">
        <v>Lead</v>
      </c>
      <c r="D226" t="str">
        <v>Kanara</v>
      </c>
      <c r="E226" t="str">
        <v>NPI IS</v>
      </c>
      <c r="F226" t="str">
        <v>Mechanical</v>
      </c>
      <c r="G226" t="str">
        <v>Mechanical engineer</v>
      </c>
      <c r="H226" t="str">
        <v>Mechanical engineer</v>
      </c>
      <c r="I226" s="20">
        <v>46598</v>
      </c>
      <c r="J226" s="20">
        <v>46748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1</v>
      </c>
      <c r="AB226" s="16">
        <v>1</v>
      </c>
      <c r="AC226" s="16">
        <v>1</v>
      </c>
      <c r="AD226" s="16">
        <v>1</v>
      </c>
      <c r="AE226" s="16">
        <v>1</v>
      </c>
      <c r="AF226" s="16">
        <v>1</v>
      </c>
      <c r="AG226" s="16">
        <v>1</v>
      </c>
      <c r="AH226" s="16">
        <v>1</v>
      </c>
      <c r="AI226" s="16">
        <v>1</v>
      </c>
      <c r="AJ226" s="16">
        <v>1</v>
      </c>
      <c r="AK226" s="16">
        <v>1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</row>
    <row r="227" spans="1:53">
      <c r="A227">
        <v>15</v>
      </c>
      <c r="B227" t="str">
        <v>Plan</v>
      </c>
      <c r="C227" t="str">
        <v>Lead</v>
      </c>
      <c r="D227" t="str">
        <v>Kanara</v>
      </c>
      <c r="E227" t="str">
        <v>Control Eng.</v>
      </c>
      <c r="F227" t="str">
        <v>* Manager</v>
      </c>
      <c r="G227" t="str">
        <v>* Manager</v>
      </c>
      <c r="H227" t="str">
        <v>Mogen Seo</v>
      </c>
      <c r="I227" s="20">
        <v>46598</v>
      </c>
      <c r="J227" s="20">
        <v>46748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0.1</v>
      </c>
      <c r="Y227" s="16">
        <v>0.1</v>
      </c>
      <c r="Z227" s="16">
        <v>0.1</v>
      </c>
      <c r="AA227" s="16">
        <v>0.1</v>
      </c>
      <c r="AB227" s="16">
        <v>0.1</v>
      </c>
      <c r="AC227" s="16">
        <v>0.1</v>
      </c>
      <c r="AD227" s="16">
        <v>0.1</v>
      </c>
      <c r="AE227" s="16">
        <v>0.1</v>
      </c>
      <c r="AF227" s="16">
        <v>0.1</v>
      </c>
      <c r="AG227" s="16">
        <v>0.1</v>
      </c>
      <c r="AH227" s="16">
        <v>0.1</v>
      </c>
      <c r="AI227" s="16">
        <v>0.1</v>
      </c>
      <c r="AJ227" s="16">
        <v>0.1</v>
      </c>
      <c r="AK227" s="16">
        <v>0.1</v>
      </c>
      <c r="AL227" s="16">
        <v>0.1</v>
      </c>
      <c r="AM227" s="16">
        <v>0.1</v>
      </c>
      <c r="AN227" s="16">
        <v>0.1</v>
      </c>
      <c r="AO227" s="16">
        <v>0.1</v>
      </c>
      <c r="AP227" s="16">
        <v>0.1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</row>
    <row r="228" spans="1:53">
      <c r="A228">
        <v>16</v>
      </c>
      <c r="B228" t="str">
        <v>Plan</v>
      </c>
      <c r="C228" t="str">
        <v>Lead</v>
      </c>
      <c r="D228" t="str">
        <v>Kanara</v>
      </c>
      <c r="E228" t="str">
        <v>Control Eng.</v>
      </c>
      <c r="F228" t="str">
        <v>Software</v>
      </c>
      <c r="G228" t="str">
        <v>Leader</v>
      </c>
      <c r="H228" t="str">
        <v>Gerald Park</v>
      </c>
      <c r="I228" s="20">
        <v>46598</v>
      </c>
      <c r="J228" s="20">
        <v>46748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0.2</v>
      </c>
      <c r="Y228" s="16">
        <v>0.2</v>
      </c>
      <c r="Z228" s="16">
        <v>0.2</v>
      </c>
      <c r="AA228" s="16">
        <v>0.2</v>
      </c>
      <c r="AB228" s="16">
        <v>0.2</v>
      </c>
      <c r="AC228" s="16">
        <v>0.2</v>
      </c>
      <c r="AD228" s="16">
        <v>0.2</v>
      </c>
      <c r="AE228" s="16">
        <v>0.2</v>
      </c>
      <c r="AF228" s="16">
        <v>0.2</v>
      </c>
      <c r="AG228" s="16">
        <v>0.2</v>
      </c>
      <c r="AH228" s="16">
        <v>0.2</v>
      </c>
      <c r="AI228" s="16">
        <v>0.2</v>
      </c>
      <c r="AJ228" s="16">
        <v>0.2</v>
      </c>
      <c r="AK228" s="16">
        <v>0.2</v>
      </c>
      <c r="AL228" s="16">
        <v>0.2</v>
      </c>
      <c r="AM228" s="16">
        <v>0.2</v>
      </c>
      <c r="AN228" s="16">
        <v>0.2</v>
      </c>
      <c r="AO228" s="16">
        <v>0.2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</row>
    <row r="229" spans="1:53">
      <c r="A229">
        <v>17</v>
      </c>
      <c r="B229" t="str">
        <v>Plan</v>
      </c>
      <c r="C229" t="str">
        <v>Lead</v>
      </c>
      <c r="D229" t="str">
        <v>Kanara</v>
      </c>
      <c r="E229" t="str">
        <v>Control Eng.</v>
      </c>
      <c r="F229" t="str">
        <v>Software</v>
      </c>
      <c r="G229" t="str">
        <v>Software engineer</v>
      </c>
      <c r="H229" t="str">
        <v>Software engineer</v>
      </c>
      <c r="I229" s="20">
        <v>46598</v>
      </c>
      <c r="J229" s="20">
        <v>46748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1</v>
      </c>
      <c r="Y229" s="16">
        <v>1</v>
      </c>
      <c r="Z229" s="16">
        <v>1</v>
      </c>
      <c r="AA229" s="16">
        <v>1</v>
      </c>
      <c r="AB229" s="16">
        <v>1</v>
      </c>
      <c r="AC229" s="16">
        <v>1</v>
      </c>
      <c r="AD229" s="16">
        <v>1</v>
      </c>
      <c r="AE229" s="16">
        <v>1</v>
      </c>
      <c r="AF229" s="16">
        <v>1</v>
      </c>
      <c r="AG229" s="16">
        <v>1</v>
      </c>
      <c r="AH229" s="16">
        <v>1</v>
      </c>
      <c r="AI229" s="16">
        <v>1</v>
      </c>
      <c r="AJ229" s="16">
        <v>1</v>
      </c>
      <c r="AK229" s="16">
        <v>1</v>
      </c>
      <c r="AL229" s="16">
        <v>1</v>
      </c>
      <c r="AM229" s="16">
        <v>1</v>
      </c>
      <c r="AN229" s="16">
        <v>1</v>
      </c>
      <c r="AO229" s="16">
        <v>1</v>
      </c>
      <c r="AP229" s="16">
        <v>1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</row>
    <row r="230" spans="1:53">
      <c r="A230">
        <v>18</v>
      </c>
      <c r="B230" t="str">
        <v>Plan</v>
      </c>
      <c r="C230" t="str">
        <v>Lead</v>
      </c>
      <c r="D230" t="str">
        <v>Kanara</v>
      </c>
      <c r="E230" t="str">
        <v>Control Eng.</v>
      </c>
      <c r="F230" t="str">
        <v>Software</v>
      </c>
      <c r="G230" t="str">
        <v>SW test engineer</v>
      </c>
      <c r="H230" t="str">
        <v>SW test engineer</v>
      </c>
      <c r="I230" s="20">
        <v>46598</v>
      </c>
      <c r="J230" s="20">
        <v>46748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1</v>
      </c>
      <c r="AF230" s="16">
        <v>1</v>
      </c>
      <c r="AG230" s="16">
        <v>1</v>
      </c>
      <c r="AH230" s="16">
        <v>1</v>
      </c>
      <c r="AI230" s="16">
        <v>1</v>
      </c>
      <c r="AJ230" s="16">
        <v>1</v>
      </c>
      <c r="AK230" s="16">
        <v>1</v>
      </c>
      <c r="AL230" s="16">
        <v>1</v>
      </c>
      <c r="AM230" s="16">
        <v>1</v>
      </c>
      <c r="AN230" s="16">
        <v>1</v>
      </c>
      <c r="AO230" s="16">
        <v>1</v>
      </c>
      <c r="AP230" s="16">
        <v>1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</row>
    <row r="231" spans="1:53">
      <c r="A231">
        <v>19</v>
      </c>
      <c r="B231" t="str">
        <v>Plan</v>
      </c>
      <c r="C231" t="str">
        <v>Lead</v>
      </c>
      <c r="D231" t="str">
        <v>Kanara</v>
      </c>
      <c r="E231" t="str">
        <v>Control Eng.</v>
      </c>
      <c r="F231" t="str">
        <v>Electrical</v>
      </c>
      <c r="G231" t="str">
        <v>Leader</v>
      </c>
      <c r="H231" t="str">
        <v>Joshua Im</v>
      </c>
      <c r="I231" s="20">
        <v>46598</v>
      </c>
      <c r="J231" s="20">
        <v>46748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0.2</v>
      </c>
      <c r="AA231" s="16">
        <v>0.2</v>
      </c>
      <c r="AB231" s="16">
        <v>0.2</v>
      </c>
      <c r="AC231" s="16">
        <v>0.2</v>
      </c>
      <c r="AD231" s="16">
        <v>0.2</v>
      </c>
      <c r="AE231" s="16">
        <v>0.2</v>
      </c>
      <c r="AF231" s="16">
        <v>0.2</v>
      </c>
      <c r="AG231" s="16">
        <v>0.2</v>
      </c>
      <c r="AH231" s="16">
        <v>0.2</v>
      </c>
      <c r="AI231" s="16">
        <v>0.2</v>
      </c>
      <c r="AJ231" s="16">
        <v>0.2</v>
      </c>
      <c r="AK231" s="16">
        <v>0.2</v>
      </c>
      <c r="AL231" s="16">
        <v>0.2</v>
      </c>
      <c r="AM231" s="16">
        <v>0.2</v>
      </c>
      <c r="AN231" s="16">
        <v>0.2</v>
      </c>
      <c r="AO231" s="16">
        <v>0.2</v>
      </c>
      <c r="AP231" s="16">
        <v>0.2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</row>
    <row r="232" spans="1:53">
      <c r="A232">
        <v>20</v>
      </c>
      <c r="B232" t="str">
        <v>Plan</v>
      </c>
      <c r="C232" t="str">
        <v>Lead</v>
      </c>
      <c r="D232" t="str">
        <v>Kanara</v>
      </c>
      <c r="E232" t="str">
        <v>Control Eng.</v>
      </c>
      <c r="F232" t="str">
        <v>Electrical</v>
      </c>
      <c r="G232" t="str">
        <v>Electrical engineer</v>
      </c>
      <c r="H232" t="str">
        <v>Julia Mun</v>
      </c>
      <c r="I232" s="20">
        <v>46598</v>
      </c>
      <c r="J232" s="20">
        <v>46748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1</v>
      </c>
      <c r="AA232" s="16">
        <v>1</v>
      </c>
      <c r="AB232" s="16">
        <v>1</v>
      </c>
      <c r="AC232" s="16">
        <v>1</v>
      </c>
      <c r="AD232" s="16">
        <v>1</v>
      </c>
      <c r="AE232" s="16">
        <v>1</v>
      </c>
      <c r="AF232" s="16">
        <v>1</v>
      </c>
      <c r="AG232" s="16">
        <v>1</v>
      </c>
      <c r="AH232" s="16">
        <v>1</v>
      </c>
      <c r="AI232" s="16">
        <v>1</v>
      </c>
      <c r="AJ232" s="16">
        <v>1</v>
      </c>
      <c r="AK232" s="16">
        <v>1</v>
      </c>
      <c r="AL232" s="16">
        <v>1</v>
      </c>
      <c r="AM232" s="16">
        <v>1</v>
      </c>
      <c r="AN232" s="16">
        <v>1</v>
      </c>
      <c r="AO232" s="16">
        <v>1</v>
      </c>
      <c r="AP232" s="16">
        <v>1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</row>
    <row r="233" spans="1:53">
      <c r="A233">
        <v>21</v>
      </c>
      <c r="B233" t="str">
        <v>Plan</v>
      </c>
      <c r="C233" t="str">
        <v>Lead</v>
      </c>
      <c r="D233" t="str">
        <v>Kanara</v>
      </c>
      <c r="E233" t="str">
        <v>Control Eng.</v>
      </c>
      <c r="F233" t="str">
        <v>Electrical</v>
      </c>
      <c r="G233" t="str">
        <v>Electrical engineer</v>
      </c>
      <c r="H233" t="str">
        <v>Electrical engineer</v>
      </c>
      <c r="I233" s="20">
        <v>46598</v>
      </c>
      <c r="J233" s="20">
        <v>46748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1</v>
      </c>
      <c r="AA233" s="16">
        <v>1</v>
      </c>
      <c r="AB233" s="16">
        <v>1</v>
      </c>
      <c r="AC233" s="16">
        <v>1</v>
      </c>
      <c r="AD233" s="16">
        <v>1</v>
      </c>
      <c r="AE233" s="16">
        <v>1</v>
      </c>
      <c r="AF233" s="16">
        <v>1</v>
      </c>
      <c r="AG233" s="16">
        <v>1</v>
      </c>
      <c r="AH233" s="16">
        <v>1</v>
      </c>
      <c r="AI233" s="16">
        <v>1</v>
      </c>
      <c r="AJ233" s="16">
        <v>1</v>
      </c>
      <c r="AK233" s="16">
        <v>1</v>
      </c>
      <c r="AL233" s="16">
        <v>0.5</v>
      </c>
      <c r="AM233" s="16">
        <v>0.5</v>
      </c>
      <c r="AN233" s="16">
        <v>0.5</v>
      </c>
      <c r="AO233" s="16">
        <v>0.5</v>
      </c>
      <c r="AP233" s="16">
        <v>0.5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</row>
    <row r="234" spans="1:53">
      <c r="A234">
        <v>22</v>
      </c>
      <c r="B234" t="str">
        <v>Plan</v>
      </c>
      <c r="C234" t="str">
        <v>Lead</v>
      </c>
      <c r="D234" t="str">
        <v>Kanara</v>
      </c>
      <c r="E234">
        <v>0</v>
      </c>
      <c r="F234">
        <v>0</v>
      </c>
      <c r="G234">
        <v>0</v>
      </c>
      <c r="H234" t="str">
        <v>Gate Plan</v>
      </c>
      <c r="I234" s="20">
        <v>46598</v>
      </c>
      <c r="J234" s="20">
        <v>46748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 t="str">
        <v>G1</v>
      </c>
      <c r="Y234" s="16">
        <v>0</v>
      </c>
      <c r="Z234" s="16">
        <v>0</v>
      </c>
      <c r="AA234" s="16" t="str">
        <v>G2</v>
      </c>
      <c r="AB234" s="16">
        <v>0</v>
      </c>
      <c r="AC234" s="16">
        <v>0</v>
      </c>
      <c r="AD234" s="16">
        <v>0</v>
      </c>
      <c r="AE234" s="16">
        <v>0</v>
      </c>
      <c r="AF234" s="16" t="str">
        <v>G3/G4</v>
      </c>
      <c r="AG234" s="16">
        <v>0</v>
      </c>
      <c r="AH234" s="16">
        <v>0</v>
      </c>
      <c r="AI234" s="16">
        <v>0</v>
      </c>
      <c r="AJ234" s="16">
        <v>0</v>
      </c>
      <c r="AK234" s="16" t="str">
        <v>G5</v>
      </c>
      <c r="AL234" s="16">
        <v>0</v>
      </c>
      <c r="AM234" s="16">
        <v>0</v>
      </c>
      <c r="AN234" s="16">
        <v>0</v>
      </c>
      <c r="AO234" s="16">
        <v>0</v>
      </c>
      <c r="AP234" s="16" t="str">
        <v>G6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</row>
    <row r="235" spans="1:53">
      <c r="A235">
        <v>1</v>
      </c>
      <c r="B235" t="str">
        <v>Complete</v>
      </c>
      <c r="C235" t="str">
        <v>Launched</v>
      </c>
      <c r="D235" t="str">
        <v>EUV Zenith Plus</v>
      </c>
      <c r="E235" t="str">
        <v>PMO</v>
      </c>
      <c r="F235" t="str">
        <v>* Manager</v>
      </c>
      <c r="G235" t="str">
        <v>* Manager</v>
      </c>
      <c r="H235" t="str">
        <v>Jinney Lee</v>
      </c>
      <c r="I235" s="20">
        <v>45991</v>
      </c>
      <c r="J235" s="20">
        <v>46203</v>
      </c>
      <c r="K235" s="16">
        <v>0.2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</row>
    <row r="236" spans="1:53">
      <c r="A236">
        <v>2</v>
      </c>
      <c r="B236" t="str">
        <v>Complete</v>
      </c>
      <c r="C236" t="str">
        <v>Launched</v>
      </c>
      <c r="D236" t="str">
        <v>EUV Zenith Plus</v>
      </c>
      <c r="E236" t="str">
        <v>PMO</v>
      </c>
      <c r="F236" t="str">
        <v>PM</v>
      </c>
      <c r="G236" t="str">
        <v>PM</v>
      </c>
      <c r="H236" t="str">
        <v>Yuro Lee</v>
      </c>
      <c r="I236" s="20">
        <v>45991</v>
      </c>
      <c r="J236" s="20">
        <v>46203</v>
      </c>
      <c r="K236" s="16">
        <v>0.2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</row>
    <row r="237" spans="1:53">
      <c r="A237">
        <v>3</v>
      </c>
      <c r="B237" t="str">
        <v>Complete</v>
      </c>
      <c r="C237" t="str">
        <v>Launched</v>
      </c>
      <c r="D237" t="str">
        <v>EUV Zenith Plus</v>
      </c>
      <c r="E237" t="str">
        <v>NPI IS</v>
      </c>
      <c r="F237" t="str">
        <v>* Manager</v>
      </c>
      <c r="G237" t="str">
        <v>* Manager</v>
      </c>
      <c r="H237" t="str">
        <v>Dorothy Noh</v>
      </c>
      <c r="I237" s="20">
        <v>45991</v>
      </c>
      <c r="J237" s="20">
        <v>46203</v>
      </c>
      <c r="K237" s="16">
        <v>0.2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</row>
    <row r="238" spans="1:53">
      <c r="A238">
        <v>4</v>
      </c>
      <c r="B238" t="str">
        <v>Complete</v>
      </c>
      <c r="C238" t="str">
        <v>Launched</v>
      </c>
      <c r="D238" t="str">
        <v>EUV Zenith Plus</v>
      </c>
      <c r="E238">
        <v>0</v>
      </c>
      <c r="F238">
        <v>0</v>
      </c>
      <c r="G238">
        <v>0</v>
      </c>
      <c r="H238" t="str">
        <v>Gate Plan</v>
      </c>
      <c r="I238" s="20">
        <v>45991</v>
      </c>
      <c r="J238" s="20">
        <v>46203</v>
      </c>
      <c r="K238" s="16" t="str">
        <v>G6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</row>
    <row r="239" spans="1:53">
      <c r="A239">
        <v>1</v>
      </c>
      <c r="B239" t="str">
        <v>Cancelled</v>
      </c>
      <c r="C239" t="str">
        <v>Lead</v>
      </c>
      <c r="D239" t="str">
        <v>Carl Zeiss</v>
      </c>
      <c r="E239" t="str">
        <v>PMO</v>
      </c>
      <c r="F239" t="str">
        <v>* Manager</v>
      </c>
      <c r="G239" t="str">
        <v>* Manager</v>
      </c>
      <c r="H239" t="str">
        <v>Jinney Lee</v>
      </c>
      <c r="I239" s="20">
        <v>0</v>
      </c>
      <c r="J239" s="20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0.1</v>
      </c>
      <c r="P239" s="16">
        <v>0.1</v>
      </c>
      <c r="Q239" s="16">
        <v>0.1</v>
      </c>
      <c r="R239" s="16">
        <v>0.1</v>
      </c>
      <c r="S239" s="16">
        <v>0.1</v>
      </c>
      <c r="T239" s="16">
        <v>0.1</v>
      </c>
      <c r="U239" s="16">
        <v>0.1</v>
      </c>
      <c r="V239" s="16">
        <v>0.1</v>
      </c>
      <c r="W239" s="16">
        <v>0.1</v>
      </c>
      <c r="X239" s="16">
        <v>0.1</v>
      </c>
      <c r="Y239" s="16">
        <v>0.1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</row>
    <row r="240" spans="1:53">
      <c r="A240">
        <v>2</v>
      </c>
      <c r="B240" t="str">
        <v>Cancelled</v>
      </c>
      <c r="C240" t="str">
        <v>Lead</v>
      </c>
      <c r="D240" t="str">
        <v>Carl Zeiss</v>
      </c>
      <c r="E240" t="str">
        <v>PMO</v>
      </c>
      <c r="F240" t="str">
        <v>PM</v>
      </c>
      <c r="G240" t="str">
        <v>PM</v>
      </c>
      <c r="H240" t="str">
        <v>Project manager</v>
      </c>
      <c r="I240" s="20">
        <v>0</v>
      </c>
      <c r="J240" s="20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0.7</v>
      </c>
      <c r="P240" s="16">
        <v>0.7</v>
      </c>
      <c r="Q240" s="16">
        <v>0.7</v>
      </c>
      <c r="R240" s="16">
        <v>0.7</v>
      </c>
      <c r="S240" s="16">
        <v>0.7</v>
      </c>
      <c r="T240" s="16">
        <v>0.7</v>
      </c>
      <c r="U240" s="16">
        <v>0.7</v>
      </c>
      <c r="V240" s="16">
        <v>0.7</v>
      </c>
      <c r="W240" s="16">
        <v>0.7</v>
      </c>
      <c r="X240" s="16">
        <v>0.7</v>
      </c>
      <c r="Y240" s="16">
        <v>0.7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</row>
    <row r="241" spans="1:53">
      <c r="A241">
        <v>3</v>
      </c>
      <c r="B241" t="str">
        <v>Cancelled</v>
      </c>
      <c r="C241" t="str">
        <v>Lead</v>
      </c>
      <c r="D241" t="str">
        <v>Carl Zeiss</v>
      </c>
      <c r="E241" t="str">
        <v>NPI IS</v>
      </c>
      <c r="F241" t="str">
        <v>* Manager</v>
      </c>
      <c r="G241" t="str">
        <v>* Manager</v>
      </c>
      <c r="H241" t="str">
        <v>Dorothy Noh</v>
      </c>
      <c r="I241" s="20">
        <v>0</v>
      </c>
      <c r="J241" s="20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0.1</v>
      </c>
      <c r="P241" s="16">
        <v>0.1</v>
      </c>
      <c r="Q241" s="16">
        <v>0.1</v>
      </c>
      <c r="R241" s="16">
        <v>0.1</v>
      </c>
      <c r="S241" s="16">
        <v>0.1</v>
      </c>
      <c r="T241" s="16">
        <v>0.1</v>
      </c>
      <c r="U241" s="16">
        <v>0.1</v>
      </c>
      <c r="V241" s="16">
        <v>0.1</v>
      </c>
      <c r="W241" s="16">
        <v>0.1</v>
      </c>
      <c r="X241" s="16">
        <v>0.1</v>
      </c>
      <c r="Y241" s="16">
        <v>0.1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</row>
    <row r="242" spans="1:53">
      <c r="A242">
        <v>4</v>
      </c>
      <c r="B242" t="str">
        <v>Cancelled</v>
      </c>
      <c r="C242" t="str">
        <v>Lead</v>
      </c>
      <c r="D242" t="str">
        <v>Carl Zeiss</v>
      </c>
      <c r="E242" t="str">
        <v>NPI IS</v>
      </c>
      <c r="F242" t="str">
        <v>System 1</v>
      </c>
      <c r="G242" t="str">
        <v>Tech Lead</v>
      </c>
      <c r="H242" t="str">
        <v>Michael Kim</v>
      </c>
      <c r="I242" s="20">
        <v>0</v>
      </c>
      <c r="J242" s="20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0.5</v>
      </c>
      <c r="P242" s="16">
        <v>0.5</v>
      </c>
      <c r="Q242" s="16">
        <v>1</v>
      </c>
      <c r="R242" s="16">
        <v>1</v>
      </c>
      <c r="S242" s="16">
        <v>1</v>
      </c>
      <c r="T242" s="16">
        <v>1</v>
      </c>
      <c r="U242" s="16">
        <v>1</v>
      </c>
      <c r="V242" s="16">
        <v>1</v>
      </c>
      <c r="W242" s="16">
        <v>1</v>
      </c>
      <c r="X242" s="16">
        <v>1</v>
      </c>
      <c r="Y242" s="16">
        <v>1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</row>
    <row r="243" spans="1:53">
      <c r="A243">
        <v>5</v>
      </c>
      <c r="B243" t="str">
        <v>Cancelled</v>
      </c>
      <c r="C243" t="str">
        <v>Lead</v>
      </c>
      <c r="D243" t="str">
        <v>Carl Zeiss</v>
      </c>
      <c r="E243" t="str">
        <v>NPI IS</v>
      </c>
      <c r="F243" t="str">
        <v>System □</v>
      </c>
      <c r="G243" t="str">
        <v>System engineer</v>
      </c>
      <c r="H243" t="str">
        <v>System engineer</v>
      </c>
      <c r="I243" s="20">
        <v>0</v>
      </c>
      <c r="J243" s="20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0.5</v>
      </c>
      <c r="P243" s="16">
        <v>0.5</v>
      </c>
      <c r="Q243" s="16">
        <v>1</v>
      </c>
      <c r="R243" s="16">
        <v>1</v>
      </c>
      <c r="S243" s="16">
        <v>1</v>
      </c>
      <c r="T243" s="16">
        <v>1</v>
      </c>
      <c r="U243" s="16">
        <v>1</v>
      </c>
      <c r="V243" s="16">
        <v>1</v>
      </c>
      <c r="W243" s="16">
        <v>1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</row>
    <row r="244" spans="1:53">
      <c r="A244">
        <v>6</v>
      </c>
      <c r="B244" t="str">
        <v>Cancelled</v>
      </c>
      <c r="C244" t="str">
        <v>Lead</v>
      </c>
      <c r="D244" t="str">
        <v>Carl Zeiss</v>
      </c>
      <c r="E244" t="str">
        <v>NPI IS</v>
      </c>
      <c r="F244" t="str">
        <v>System 1</v>
      </c>
      <c r="G244" t="str">
        <v>Service engineer</v>
      </c>
      <c r="H244" t="str">
        <v>Judy Lee</v>
      </c>
      <c r="I244" s="20">
        <v>0</v>
      </c>
      <c r="J244" s="20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1</v>
      </c>
      <c r="R244" s="16">
        <v>1</v>
      </c>
      <c r="S244" s="16">
        <v>1</v>
      </c>
      <c r="T244" s="16">
        <v>1</v>
      </c>
      <c r="U244" s="16">
        <v>1</v>
      </c>
      <c r="V244" s="16">
        <v>1</v>
      </c>
      <c r="W244" s="16">
        <v>1</v>
      </c>
      <c r="X244" s="16">
        <v>1</v>
      </c>
      <c r="Y244" s="16">
        <v>1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</row>
    <row r="245" spans="1:53">
      <c r="A245">
        <v>7</v>
      </c>
      <c r="B245" t="str">
        <v>Cancelled</v>
      </c>
      <c r="C245" t="str">
        <v>Lead</v>
      </c>
      <c r="D245" t="str">
        <v>Carl Zeiss</v>
      </c>
      <c r="E245" t="str">
        <v>NPI IS</v>
      </c>
      <c r="F245" t="str">
        <v>Mechanical</v>
      </c>
      <c r="G245" t="str">
        <v>Leader</v>
      </c>
      <c r="H245" t="str">
        <v>Jeremy Park</v>
      </c>
      <c r="I245" s="20">
        <v>0</v>
      </c>
      <c r="J245" s="20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0.1</v>
      </c>
      <c r="P245" s="16">
        <v>0.1</v>
      </c>
      <c r="Q245" s="16">
        <v>0.1</v>
      </c>
      <c r="R245" s="16">
        <v>0.1</v>
      </c>
      <c r="S245" s="16">
        <v>0.1</v>
      </c>
      <c r="T245" s="16">
        <v>0.1</v>
      </c>
      <c r="U245" s="16">
        <v>0.1</v>
      </c>
      <c r="V245" s="16">
        <v>0.1</v>
      </c>
      <c r="W245" s="16">
        <v>0.1</v>
      </c>
      <c r="X245" s="16">
        <v>0.1</v>
      </c>
      <c r="Y245" s="16">
        <v>0.1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</row>
    <row r="246" spans="1:53">
      <c r="A246">
        <v>8</v>
      </c>
      <c r="B246" t="str">
        <v>Cancelled</v>
      </c>
      <c r="C246" t="str">
        <v>Lead</v>
      </c>
      <c r="D246" t="str">
        <v>Carl Zeiss</v>
      </c>
      <c r="E246" t="str">
        <v>NPI IS</v>
      </c>
      <c r="F246" t="str">
        <v>Mechanical</v>
      </c>
      <c r="G246" t="str">
        <v>Mechanical engineer</v>
      </c>
      <c r="H246" t="str">
        <v>Jayden Lee</v>
      </c>
      <c r="I246" s="20">
        <v>0</v>
      </c>
      <c r="J246" s="20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0.5</v>
      </c>
      <c r="P246" s="16">
        <v>1</v>
      </c>
      <c r="Q246" s="16">
        <v>1</v>
      </c>
      <c r="R246" s="16">
        <v>1</v>
      </c>
      <c r="S246" s="16">
        <v>1</v>
      </c>
      <c r="T246" s="16">
        <v>1</v>
      </c>
      <c r="U246" s="16">
        <v>1</v>
      </c>
      <c r="V246" s="16">
        <v>1</v>
      </c>
      <c r="W246" s="16">
        <v>1</v>
      </c>
      <c r="X246" s="16">
        <v>1</v>
      </c>
      <c r="Y246" s="16">
        <v>1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</row>
    <row r="247" spans="1:53">
      <c r="A247">
        <v>9</v>
      </c>
      <c r="B247" t="str">
        <v>Cancelled</v>
      </c>
      <c r="C247" t="str">
        <v>Lead</v>
      </c>
      <c r="D247" t="str">
        <v>Carl Zeiss</v>
      </c>
      <c r="E247" t="str">
        <v>Control Eng.</v>
      </c>
      <c r="F247" t="str">
        <v>* Manager</v>
      </c>
      <c r="G247" t="str">
        <v>* Manager</v>
      </c>
      <c r="H247" t="str">
        <v>Mogen Seo</v>
      </c>
      <c r="I247" s="20">
        <v>0</v>
      </c>
      <c r="J247" s="20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0.1</v>
      </c>
      <c r="P247" s="16">
        <v>0.1</v>
      </c>
      <c r="Q247" s="16">
        <v>0.1</v>
      </c>
      <c r="R247" s="16">
        <v>0.1</v>
      </c>
      <c r="S247" s="16">
        <v>0.1</v>
      </c>
      <c r="T247" s="16">
        <v>0.1</v>
      </c>
      <c r="U247" s="16">
        <v>0.1</v>
      </c>
      <c r="V247" s="16">
        <v>0.1</v>
      </c>
      <c r="W247" s="16">
        <v>0.1</v>
      </c>
      <c r="X247" s="16">
        <v>0.1</v>
      </c>
      <c r="Y247" s="16">
        <v>0.1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</row>
    <row r="248" spans="1:53">
      <c r="A248">
        <v>10</v>
      </c>
      <c r="B248" t="str">
        <v>Cancelled</v>
      </c>
      <c r="C248" t="str">
        <v>Lead</v>
      </c>
      <c r="D248" t="str">
        <v>Carl Zeiss</v>
      </c>
      <c r="E248" t="str">
        <v>Control Eng.</v>
      </c>
      <c r="F248" t="str">
        <v>Software</v>
      </c>
      <c r="G248" t="str">
        <v>Leader</v>
      </c>
      <c r="H248" t="str">
        <v>Gerald Park</v>
      </c>
      <c r="I248" s="20">
        <v>0</v>
      </c>
      <c r="J248" s="20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0.2</v>
      </c>
      <c r="P248" s="16">
        <v>0.2</v>
      </c>
      <c r="Q248" s="16">
        <v>0.2</v>
      </c>
      <c r="R248" s="16">
        <v>0.2</v>
      </c>
      <c r="S248" s="16">
        <v>0.2</v>
      </c>
      <c r="T248" s="16">
        <v>0.2</v>
      </c>
      <c r="U248" s="16">
        <v>0.2</v>
      </c>
      <c r="V248" s="16">
        <v>0.2</v>
      </c>
      <c r="W248" s="16">
        <v>0.2</v>
      </c>
      <c r="X248" s="16">
        <v>0.2</v>
      </c>
      <c r="Y248" s="16">
        <v>0.2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</row>
    <row r="249" spans="1:53">
      <c r="A249">
        <v>11</v>
      </c>
      <c r="B249" t="str">
        <v>Cancelled</v>
      </c>
      <c r="C249" t="str">
        <v>Lead</v>
      </c>
      <c r="D249" t="str">
        <v>Carl Zeiss</v>
      </c>
      <c r="E249" t="str">
        <v>Control Eng.</v>
      </c>
      <c r="F249" t="str">
        <v>Software</v>
      </c>
      <c r="G249" t="str">
        <v>Software engineer</v>
      </c>
      <c r="H249" t="str">
        <v>Software engineer</v>
      </c>
      <c r="I249" s="20">
        <v>0</v>
      </c>
      <c r="J249" s="20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0.5</v>
      </c>
      <c r="P249" s="16">
        <v>1.5</v>
      </c>
      <c r="Q249" s="16">
        <v>1.5</v>
      </c>
      <c r="R249" s="16">
        <v>1.5</v>
      </c>
      <c r="S249" s="16">
        <v>1.5</v>
      </c>
      <c r="T249" s="16">
        <v>1.5</v>
      </c>
      <c r="U249" s="16">
        <v>1.5</v>
      </c>
      <c r="V249" s="16">
        <v>1</v>
      </c>
      <c r="W249" s="16">
        <v>1</v>
      </c>
      <c r="X249" s="16">
        <v>1</v>
      </c>
      <c r="Y249" s="16">
        <v>1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</row>
    <row r="250" spans="1:53">
      <c r="A250">
        <v>12</v>
      </c>
      <c r="B250" t="str">
        <v>Cancelled</v>
      </c>
      <c r="C250" t="str">
        <v>Lead</v>
      </c>
      <c r="D250" t="str">
        <v>Carl Zeiss</v>
      </c>
      <c r="E250" t="str">
        <v>Control Eng.</v>
      </c>
      <c r="F250" t="str">
        <v>Software</v>
      </c>
      <c r="G250" t="str">
        <v>SW test engineer</v>
      </c>
      <c r="H250" t="str">
        <v>SW test engineer</v>
      </c>
      <c r="I250" s="20">
        <v>0</v>
      </c>
      <c r="J250" s="20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0.5</v>
      </c>
      <c r="Q250" s="16">
        <v>0.5</v>
      </c>
      <c r="R250" s="16">
        <v>1</v>
      </c>
      <c r="S250" s="16">
        <v>1</v>
      </c>
      <c r="T250" s="16">
        <v>1</v>
      </c>
      <c r="U250" s="16">
        <v>1</v>
      </c>
      <c r="V250" s="16">
        <v>0.5</v>
      </c>
      <c r="W250" s="16">
        <v>0.5</v>
      </c>
      <c r="X250" s="16">
        <v>0.5</v>
      </c>
      <c r="Y250" s="16">
        <v>0.5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</row>
    <row r="251" spans="1:53">
      <c r="A251">
        <v>13</v>
      </c>
      <c r="B251" t="str">
        <v>Cancelled</v>
      </c>
      <c r="C251" t="str">
        <v>Lead</v>
      </c>
      <c r="D251" t="str">
        <v>Carl Zeiss</v>
      </c>
      <c r="E251" t="str">
        <v>Control Eng.</v>
      </c>
      <c r="F251" t="str">
        <v>Electrical</v>
      </c>
      <c r="G251" t="str">
        <v>Leader</v>
      </c>
      <c r="H251" t="str">
        <v>Joshua Im</v>
      </c>
      <c r="I251" s="20">
        <v>0</v>
      </c>
      <c r="J251" s="20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0.2</v>
      </c>
      <c r="P251" s="16">
        <v>0.2</v>
      </c>
      <c r="Q251" s="16">
        <v>0.2</v>
      </c>
      <c r="R251" s="16">
        <v>0.2</v>
      </c>
      <c r="S251" s="16">
        <v>0.2</v>
      </c>
      <c r="T251" s="16">
        <v>0.2</v>
      </c>
      <c r="U251" s="16">
        <v>0.2</v>
      </c>
      <c r="V251" s="16">
        <v>0.2</v>
      </c>
      <c r="W251" s="16">
        <v>0.2</v>
      </c>
      <c r="X251" s="16">
        <v>0.2</v>
      </c>
      <c r="Y251" s="16">
        <v>0.2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</row>
    <row r="252" spans="1:53">
      <c r="A252">
        <v>14</v>
      </c>
      <c r="B252" t="str">
        <v>Cancelled</v>
      </c>
      <c r="C252" t="str">
        <v>Lead</v>
      </c>
      <c r="D252" t="str">
        <v>Carl Zeiss</v>
      </c>
      <c r="E252" t="str">
        <v>Control Eng.</v>
      </c>
      <c r="F252" t="str">
        <v>Electrical</v>
      </c>
      <c r="G252" t="str">
        <v>Electrical engineer</v>
      </c>
      <c r="H252" t="str">
        <v>Electrical engineer</v>
      </c>
      <c r="I252" s="20">
        <v>0</v>
      </c>
      <c r="J252" s="20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1</v>
      </c>
      <c r="P252" s="16">
        <v>1</v>
      </c>
      <c r="Q252" s="16">
        <v>1</v>
      </c>
      <c r="R252" s="16">
        <v>1</v>
      </c>
      <c r="S252" s="16">
        <v>1</v>
      </c>
      <c r="T252" s="16">
        <v>1</v>
      </c>
      <c r="U252" s="16">
        <v>1</v>
      </c>
      <c r="V252" s="16">
        <v>1</v>
      </c>
      <c r="W252" s="16">
        <v>1</v>
      </c>
      <c r="X252" s="16">
        <v>1</v>
      </c>
      <c r="Y252" s="16">
        <v>1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</row>
    <row r="253" spans="1:53">
      <c r="A253">
        <v>15</v>
      </c>
      <c r="B253" t="str">
        <v>Cancelled</v>
      </c>
      <c r="C253" t="str">
        <v>Lead</v>
      </c>
      <c r="D253" t="str">
        <v>Carl Zeiss</v>
      </c>
      <c r="E253">
        <v>0</v>
      </c>
      <c r="F253">
        <v>0</v>
      </c>
      <c r="G253">
        <v>0</v>
      </c>
      <c r="H253" t="str">
        <v>Gate Plan</v>
      </c>
      <c r="I253" s="20">
        <v>0</v>
      </c>
      <c r="J253" s="20">
        <v>0</v>
      </c>
      <c r="K253" s="16">
        <v>0</v>
      </c>
      <c r="L253" s="16">
        <v>0</v>
      </c>
      <c r="M253" s="16">
        <v>0</v>
      </c>
      <c r="N253" s="16">
        <v>0</v>
      </c>
      <c r="O253" s="16" t="str">
        <v>G2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 t="str">
        <v>G5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</row>
  </sheetData>
  <autoFilter ref="A1:AC219" xr:uid="{DD6CBB75-71BD-4DC4-AB75-65DC2344D02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5489-4C08-4CB9-8DB0-508FA9374A4B}">
  <sheetPr>
    <tabColor rgb="FFFFC000"/>
  </sheetPr>
  <dimension ref="A1:AA42"/>
  <sheetViews>
    <sheetView zoomScale="85" zoomScaleNormal="85" workbookViewId="0">
      <selection activeCell="C31" sqref="C31"/>
    </sheetView>
  </sheetViews>
  <sheetFormatPr defaultRowHeight="16.5"/>
  <cols>
    <col min="1" max="1" width="20.125" bestFit="1" customWidth="1"/>
    <col min="2" max="2" width="14.125" bestFit="1" customWidth="1"/>
    <col min="3" max="3" width="13.625" bestFit="1" customWidth="1"/>
    <col min="4" max="4" width="13.125" bestFit="1" customWidth="1"/>
    <col min="5" max="5" width="13.625" bestFit="1" customWidth="1"/>
    <col min="6" max="6" width="14.125" bestFit="1" customWidth="1"/>
    <col min="7" max="7" width="13.625" bestFit="1" customWidth="1"/>
    <col min="8" max="8" width="14.125" bestFit="1" customWidth="1"/>
    <col min="9" max="9" width="13.625" bestFit="1" customWidth="1"/>
    <col min="10" max="10" width="12.625" bestFit="1" customWidth="1"/>
    <col min="11" max="11" width="14.125" bestFit="1" customWidth="1"/>
    <col min="12" max="13" width="13.625" bestFit="1" customWidth="1"/>
    <col min="14" max="14" width="14.125" bestFit="1" customWidth="1"/>
    <col min="15" max="15" width="13.625" bestFit="1" customWidth="1"/>
    <col min="16" max="17" width="15.125" bestFit="1" customWidth="1"/>
    <col min="18" max="18" width="15.625" bestFit="1" customWidth="1"/>
    <col min="19" max="19" width="15.5" bestFit="1" customWidth="1"/>
    <col min="20" max="20" width="16.125" bestFit="1" customWidth="1"/>
    <col min="21" max="21" width="15.125" bestFit="1" customWidth="1"/>
    <col min="22" max="22" width="14.5" bestFit="1" customWidth="1"/>
    <col min="23" max="23" width="15.625" bestFit="1" customWidth="1"/>
    <col min="24" max="25" width="15.125" bestFit="1" customWidth="1"/>
    <col min="26" max="26" width="15.625" bestFit="1" customWidth="1"/>
    <col min="27" max="27" width="15.5" bestFit="1" customWidth="1"/>
    <col min="28" max="30" width="15.625" bestFit="1" customWidth="1"/>
  </cols>
  <sheetData>
    <row r="1" spans="1:27">
      <c r="A1" t="s">
        <v>87</v>
      </c>
      <c r="B1" cm="1">
        <f t="array" ref="B1:AA1">B12:AA12</f>
        <v>46.9</v>
      </c>
      <c r="C1">
        <v>46.9</v>
      </c>
      <c r="D1">
        <v>46.9</v>
      </c>
      <c r="E1">
        <v>45.9</v>
      </c>
      <c r="F1">
        <v>45.9</v>
      </c>
      <c r="G1">
        <v>45.9</v>
      </c>
      <c r="H1">
        <v>45.9</v>
      </c>
      <c r="I1">
        <v>45.9</v>
      </c>
      <c r="J1">
        <v>46.9</v>
      </c>
      <c r="K1">
        <v>46.9</v>
      </c>
      <c r="L1">
        <v>46.9</v>
      </c>
      <c r="M1">
        <v>46.9</v>
      </c>
      <c r="N1">
        <v>46.9</v>
      </c>
      <c r="O1">
        <v>47.9</v>
      </c>
      <c r="P1">
        <v>47.9</v>
      </c>
      <c r="Q1">
        <v>47.9</v>
      </c>
      <c r="R1">
        <v>48.9</v>
      </c>
      <c r="S1">
        <v>48.9</v>
      </c>
      <c r="T1">
        <v>48.9</v>
      </c>
      <c r="U1">
        <v>48.9</v>
      </c>
      <c r="V1">
        <v>48.9</v>
      </c>
      <c r="W1">
        <v>48.9</v>
      </c>
      <c r="X1">
        <v>48.9</v>
      </c>
      <c r="Y1">
        <v>48.9</v>
      </c>
      <c r="Z1">
        <v>48.9</v>
      </c>
      <c r="AA1">
        <v>48.9</v>
      </c>
    </row>
    <row r="2" spans="1:27">
      <c r="A2" s="105" t="s">
        <v>88</v>
      </c>
      <c r="B2">
        <f>SUMIF('etc. V00'!$D$3:$D$60,"R&amp;D General - Legacy/TSG",'etc. V00'!P3:P60)</f>
        <v>2</v>
      </c>
      <c r="C2">
        <f>SUMIF('etc. V00'!$D$3:$D$60,"R&amp;D General - Legacy/TSG",'etc. V00'!Q3:Q60)</f>
        <v>2</v>
      </c>
      <c r="D2">
        <f>SUMIF('etc. V00'!$D$3:$D$60,"R&amp;D General - Legacy/TSG",'etc. V00'!R3:R60)</f>
        <v>2</v>
      </c>
      <c r="E2">
        <f>SUMIF('etc. V00'!$D$3:$D$60,"R&amp;D General - Legacy/TSG",'etc. V00'!S3:S60)</f>
        <v>2</v>
      </c>
      <c r="F2">
        <f>SUMIF('etc. V00'!$D$3:$D$60,"R&amp;D General - Legacy/TSG",'etc. V00'!T3:T60)</f>
        <v>2</v>
      </c>
      <c r="G2">
        <f>SUMIF('etc. V00'!$D$3:$D$60,"R&amp;D General - Legacy/TSG",'etc. V00'!U3:U60)</f>
        <v>2</v>
      </c>
      <c r="H2">
        <f>SUMIF('etc. V00'!$D$3:$D$60,"R&amp;D General - Legacy/TSG",'etc. V00'!V3:V60)</f>
        <v>2</v>
      </c>
      <c r="I2">
        <f>SUMIF('etc. V00'!$D$3:$D$60,"R&amp;D General - Legacy/TSG",'etc. V00'!W3:W60)</f>
        <v>2</v>
      </c>
      <c r="J2">
        <f>SUMIF('etc. V00'!$D$3:$D$60,"R&amp;D General - Legacy/TSG",'etc. V00'!X3:X60)</f>
        <v>2</v>
      </c>
      <c r="K2">
        <f>SUMIF('etc. V00'!$D$3:$D$60,"R&amp;D General - Legacy/TSG",'etc. V00'!Y3:Y60)</f>
        <v>2</v>
      </c>
      <c r="L2">
        <f>SUMIF('etc. V00'!$D$3:$D$60,"R&amp;D General - Legacy/TSG",'etc. V00'!Z3:Z60)</f>
        <v>2</v>
      </c>
      <c r="M2">
        <f>SUMIF('etc. V00'!$D$3:$D$60,"R&amp;D General - Legacy/TSG",'etc. V00'!AA3:AA60)</f>
        <v>2</v>
      </c>
      <c r="N2">
        <f>SUMIF('etc. V00'!$D$3:$D$60,"R&amp;D General - Legacy/TSG",'etc. V00'!AB3:AB60)</f>
        <v>2</v>
      </c>
      <c r="O2">
        <f>SUMIF('etc. V00'!$D$3:$D$60,"R&amp;D General - Legacy/TSG",'etc. V00'!AC3:AC60)</f>
        <v>2</v>
      </c>
      <c r="P2">
        <f>SUMIF('etc. V00'!$D$3:$D$60,"R&amp;D General - Legacy/TSG",'etc. V00'!AD3:AD60)</f>
        <v>2</v>
      </c>
      <c r="Q2">
        <f>SUMIF('etc. V00'!$D$3:$D$60,"R&amp;D General - Legacy/TSG",'etc. V00'!AE3:AE60)</f>
        <v>2</v>
      </c>
      <c r="R2">
        <f>SUMIF('etc. V00'!$D$3:$D$60,"R&amp;D General - Legacy/TSG",'etc. V00'!AF3:AF60)</f>
        <v>2</v>
      </c>
      <c r="S2">
        <f>SUMIF('etc. V00'!$D$3:$D$60,"R&amp;D General - Legacy/TSG",'etc. V00'!AG3:AG60)</f>
        <v>2</v>
      </c>
      <c r="T2">
        <f>SUMIF('etc. V00'!$D$3:$D$60,"R&amp;D General - Legacy/TSG",'etc. V00'!AH3:AH60)</f>
        <v>2</v>
      </c>
      <c r="U2">
        <f>SUMIF('etc. V00'!$D$3:$D$60,"R&amp;D General - Legacy/TSG",'etc. V00'!AI3:AI60)</f>
        <v>2</v>
      </c>
      <c r="V2">
        <f>SUMIF('etc. V00'!$D$3:$D$60,"R&amp;D General - Legacy/TSG",'etc. V00'!AJ3:AJ60)</f>
        <v>2</v>
      </c>
      <c r="W2">
        <f>SUMIF('etc. V00'!$D$3:$D$60,"R&amp;D General - Legacy/TSG",'etc. V00'!AK3:AK60)</f>
        <v>2</v>
      </c>
      <c r="X2">
        <f>SUMIF('etc. V00'!$D$3:$D$60,"R&amp;D General - Legacy/TSG",'etc. V00'!AL3:AL60)</f>
        <v>2</v>
      </c>
      <c r="Y2">
        <f>SUMIF('etc. V00'!$D$3:$D$60,"R&amp;D General - Legacy/TSG",'etc. V00'!AM3:AM60)</f>
        <v>2</v>
      </c>
      <c r="Z2">
        <f>SUMIF('etc. V00'!$D$3:$D$60,"R&amp;D General - Legacy/TSG",'etc. V00'!AN3:AN60)</f>
        <v>2</v>
      </c>
      <c r="AA2">
        <f>SUMIF('etc. V00'!$D$3:$D$60,"R&amp;D General - Legacy/TSG",'etc. V00'!AO3:AO60)</f>
        <v>2</v>
      </c>
    </row>
    <row r="3" spans="1:27">
      <c r="A3" s="105" t="s">
        <v>89</v>
      </c>
      <c r="B3">
        <f>SUMIF('etc. V00'!$D$3:$D$60,"Unify support",'etc. V00'!P3:P60)</f>
        <v>1.5</v>
      </c>
      <c r="C3">
        <f>SUMIF('etc. V00'!$D$3:$D$60,"Unify support",'etc. V00'!Q3:Q60)</f>
        <v>1.5</v>
      </c>
      <c r="D3">
        <f>SUMIF('etc. V00'!$D$3:$D$60,"Unify support",'etc. V00'!R3:R60)</f>
        <v>1.5</v>
      </c>
      <c r="E3">
        <f>SUMIF('etc. V00'!$D$3:$D$60,"Unify support",'etc. V00'!S3:S60)</f>
        <v>1.5</v>
      </c>
      <c r="F3">
        <f>SUMIF('etc. V00'!$D$3:$D$60,"Unify support",'etc. V00'!T3:T60)</f>
        <v>1.5</v>
      </c>
      <c r="G3">
        <f>SUMIF('etc. V00'!$D$3:$D$60,"Unify support",'etc. V00'!U3:U60)</f>
        <v>1.5</v>
      </c>
      <c r="H3">
        <f>SUMIF('etc. V00'!$D$3:$D$60,"Unify support",'etc. V00'!V3:V60)</f>
        <v>1.5</v>
      </c>
      <c r="I3">
        <f>SUMIF('etc. V00'!$D$3:$D$60,"Unify support",'etc. V00'!W3:W60)</f>
        <v>0.8</v>
      </c>
      <c r="J3">
        <f>SUMIF('etc. V00'!$D$3:$D$60,"Unify support",'etc. V00'!X3:X60)</f>
        <v>0.8</v>
      </c>
      <c r="K3">
        <f>SUMIF('etc. V00'!$D$3:$D$60,"Unify support",'etc. V00'!Y3:Y60)</f>
        <v>0.8</v>
      </c>
      <c r="L3">
        <f>SUMIF('etc. V00'!$D$3:$D$60,"Unify support",'etc. V00'!Z3:Z60)</f>
        <v>0.8</v>
      </c>
      <c r="M3">
        <f>SUMIF('etc. V00'!$D$3:$D$60,"Unify support",'etc. V00'!AA3:AA60)</f>
        <v>0.8</v>
      </c>
      <c r="N3">
        <f>SUMIF('etc. V00'!$D$3:$D$60,"Unify support",'etc. V00'!AB3:AB60)</f>
        <v>0.8</v>
      </c>
      <c r="O3">
        <f>SUMIF('etc. V00'!$D$3:$D$60,"Unify support",'etc. V00'!AC3:AC60)</f>
        <v>0.8</v>
      </c>
      <c r="P3">
        <f>SUMIF('etc. V00'!$D$3:$D$60,"Unify support",'etc. V00'!AD3:AD60)</f>
        <v>0.8</v>
      </c>
      <c r="Q3">
        <f>SUMIF('etc. V00'!$D$3:$D$60,"Unify support",'etc. V00'!AE3:AE60)</f>
        <v>0.8</v>
      </c>
      <c r="R3">
        <f>SUMIF('etc. V00'!$D$3:$D$60,"Unify support",'etc. V00'!AF3:AF60)</f>
        <v>0.8</v>
      </c>
      <c r="S3">
        <f>SUMIF('etc. V00'!$D$3:$D$60,"Unify support",'etc. V00'!AG3:AG60)</f>
        <v>0.8</v>
      </c>
      <c r="T3">
        <f>SUMIF('etc. V00'!$D$3:$D$60,"Unify support",'etc. V00'!AH3:AH60)</f>
        <v>0.8</v>
      </c>
      <c r="U3">
        <f>SUMIF('etc. V00'!$D$3:$D$60,"Unify support",'etc. V00'!AI3:AI60)</f>
        <v>0.8</v>
      </c>
      <c r="V3">
        <f>SUMIF('etc. V00'!$D$3:$D$60,"Unify support",'etc. V00'!AJ3:AJ60)</f>
        <v>0.8</v>
      </c>
      <c r="W3">
        <f>SUMIF('etc. V00'!$D$3:$D$60,"Unify support",'etc. V00'!AK3:AK60)</f>
        <v>0.8</v>
      </c>
      <c r="X3">
        <f>SUMIF('etc. V00'!$D$3:$D$60,"Unify support",'etc. V00'!AL3:AL60)</f>
        <v>0.8</v>
      </c>
      <c r="Y3">
        <f>SUMIF('etc. V00'!$D$3:$D$60,"Unify support",'etc. V00'!AM3:AM60)</f>
        <v>0.8</v>
      </c>
      <c r="Z3">
        <f>SUMIF('etc. V00'!$D$3:$D$60,"Unify support",'etc. V00'!AN3:AN60)</f>
        <v>0.8</v>
      </c>
      <c r="AA3">
        <f>SUMIF('etc. V00'!$D$3:$D$60,"Unify support",'etc. V00'!AO3:AO60)</f>
        <v>0.8</v>
      </c>
    </row>
    <row r="4" spans="1:27">
      <c r="A4" s="105" t="s">
        <v>90</v>
      </c>
      <c r="B4">
        <f>SUMIF('etc. V00'!$D$3:$D$60,"LPLN TOP 150 support",'etc. V00'!P3:P60)</f>
        <v>3</v>
      </c>
      <c r="C4">
        <f>SUMIF('etc. V00'!$D$3:$D$60,"LPLN TOP 150 support",'etc. V00'!Q3:Q60)</f>
        <v>3</v>
      </c>
      <c r="D4">
        <f>SUMIF('etc. V00'!$D$3:$D$60,"LPLN TOP 150 support",'etc. V00'!R3:R60)</f>
        <v>3</v>
      </c>
      <c r="E4">
        <f>SUMIF('etc. V00'!$D$3:$D$60,"LPLN TOP 150 support",'etc. V00'!S3:S60)</f>
        <v>3</v>
      </c>
      <c r="F4">
        <f>SUMIF('etc. V00'!$D$3:$D$60,"LPLN TOP 150 support",'etc. V00'!T3:T60)</f>
        <v>3</v>
      </c>
      <c r="G4">
        <f>SUMIF('etc. V00'!$D$3:$D$60,"LPLN TOP 150 support",'etc. V00'!U3:U60)</f>
        <v>3</v>
      </c>
      <c r="H4">
        <f>SUMIF('etc. V00'!$D$3:$D$60,"LPLN TOP 150 support",'etc. V00'!V3:V60)</f>
        <v>3</v>
      </c>
      <c r="I4">
        <f>SUMIF('etc. V00'!$D$3:$D$60,"LPLN TOP 150 support",'etc. V00'!W3:W60)</f>
        <v>3</v>
      </c>
      <c r="J4">
        <f>SUMIF('etc. V00'!$D$3:$D$60,"LPLN TOP 150 support",'etc. V00'!X3:X60)</f>
        <v>3</v>
      </c>
      <c r="K4">
        <f>SUMIF('etc. V00'!$D$3:$D$60,"LPLN TOP 150 support",'etc. V00'!Y3:Y60)</f>
        <v>3</v>
      </c>
      <c r="L4">
        <f>SUMIF('etc. V00'!$D$3:$D$60,"LPLN TOP 150 support",'etc. V00'!Z3:Z60)</f>
        <v>3</v>
      </c>
      <c r="M4">
        <f>SUMIF('etc. V00'!$D$3:$D$60,"LPLN TOP 150 support",'etc. V00'!AA3:AA60)</f>
        <v>3</v>
      </c>
      <c r="N4">
        <f>SUMIF('etc. V00'!$D$3:$D$60,"LPLN TOP 150 support",'etc. V00'!AB3:AB60)</f>
        <v>3</v>
      </c>
      <c r="O4">
        <f>SUMIF('etc. V00'!$D$3:$D$60,"LPLN TOP 150 support",'etc. V00'!AC3:AC60)</f>
        <v>3</v>
      </c>
      <c r="P4">
        <f>SUMIF('etc. V00'!$D$3:$D$60,"LPLN TOP 150 support",'etc. V00'!AD3:AD60)</f>
        <v>0</v>
      </c>
      <c r="Q4">
        <f>SUMIF('etc. V00'!$D$3:$D$60,"LPLN TOP 150 support",'etc. V00'!AE3:AE60)</f>
        <v>0</v>
      </c>
      <c r="R4">
        <f>SUMIF('etc. V00'!$D$3:$D$60,"LPLN TOP 150 support",'etc. V00'!AF3:AF60)</f>
        <v>0</v>
      </c>
      <c r="S4">
        <f>SUMIF('etc. V00'!$D$3:$D$60,"LPLN TOP 150 support",'etc. V00'!AG3:AG60)</f>
        <v>0</v>
      </c>
      <c r="T4">
        <f>SUMIF('etc. V00'!$D$3:$D$60,"LPLN TOP 150 support",'etc. V00'!AH3:AH60)</f>
        <v>0</v>
      </c>
      <c r="U4">
        <f>SUMIF('etc. V00'!$D$3:$D$60,"LPLN TOP 150 support",'etc. V00'!AI3:AI60)</f>
        <v>0</v>
      </c>
      <c r="V4">
        <f>SUMIF('etc. V00'!$D$3:$D$60,"LPLN TOP 150 support",'etc. V00'!AJ3:AJ60)</f>
        <v>0</v>
      </c>
      <c r="W4">
        <f>SUMIF('etc. V00'!$D$3:$D$60,"LPLN TOP 150 support",'etc. V00'!AK3:AK60)</f>
        <v>0</v>
      </c>
      <c r="X4">
        <f>SUMIF('etc. V00'!$D$3:$D$60,"LPLN TOP 150 support",'etc. V00'!AL3:AL60)</f>
        <v>0</v>
      </c>
      <c r="Y4">
        <f>SUMIF('etc. V00'!$D$3:$D$60,"LPLN TOP 150 support",'etc. V00'!AM3:AM60)</f>
        <v>0</v>
      </c>
      <c r="Z4">
        <f>SUMIF('etc. V00'!$D$3:$D$60,"LPLN TOP 150 support",'etc. V00'!AN3:AN60)</f>
        <v>0</v>
      </c>
      <c r="AA4">
        <f>SUMIF('etc. V00'!$D$3:$D$60,"LPLN TOP 150 support",'etc. V00'!AO3:AO60)</f>
        <v>0</v>
      </c>
    </row>
    <row r="5" spans="1:27" s="158" customFormat="1">
      <c r="A5" s="157" t="s">
        <v>91</v>
      </c>
      <c r="B5" s="158">
        <f>B1-SUM(B2:B4)</f>
        <v>40.4</v>
      </c>
      <c r="C5" s="158">
        <f t="shared" ref="C5:AA5" si="0">C1-SUM(C2:C4)</f>
        <v>40.4</v>
      </c>
      <c r="D5" s="158">
        <f t="shared" si="0"/>
        <v>40.4</v>
      </c>
      <c r="E5" s="158">
        <f t="shared" si="0"/>
        <v>39.4</v>
      </c>
      <c r="F5" s="158">
        <f t="shared" si="0"/>
        <v>39.4</v>
      </c>
      <c r="G5" s="158">
        <f t="shared" si="0"/>
        <v>39.4</v>
      </c>
      <c r="H5" s="158">
        <f t="shared" si="0"/>
        <v>39.4</v>
      </c>
      <c r="I5" s="158">
        <f t="shared" si="0"/>
        <v>40.1</v>
      </c>
      <c r="J5" s="158">
        <f t="shared" si="0"/>
        <v>41.1</v>
      </c>
      <c r="K5" s="158">
        <f t="shared" si="0"/>
        <v>41.1</v>
      </c>
      <c r="L5" s="158">
        <f t="shared" si="0"/>
        <v>41.1</v>
      </c>
      <c r="M5" s="158">
        <f t="shared" si="0"/>
        <v>41.1</v>
      </c>
      <c r="N5" s="158">
        <f t="shared" si="0"/>
        <v>41.1</v>
      </c>
      <c r="O5" s="158">
        <f t="shared" si="0"/>
        <v>42.1</v>
      </c>
      <c r="P5" s="158">
        <f t="shared" si="0"/>
        <v>45.1</v>
      </c>
      <c r="Q5" s="158">
        <f t="shared" si="0"/>
        <v>45.1</v>
      </c>
      <c r="R5" s="158">
        <f t="shared" si="0"/>
        <v>46.1</v>
      </c>
      <c r="S5" s="158">
        <f t="shared" si="0"/>
        <v>46.1</v>
      </c>
      <c r="T5" s="158">
        <f t="shared" si="0"/>
        <v>46.1</v>
      </c>
      <c r="U5" s="158">
        <f t="shared" si="0"/>
        <v>46.1</v>
      </c>
      <c r="V5" s="158">
        <f t="shared" si="0"/>
        <v>46.1</v>
      </c>
      <c r="W5" s="158">
        <f t="shared" si="0"/>
        <v>46.1</v>
      </c>
      <c r="X5" s="158">
        <f t="shared" si="0"/>
        <v>46.1</v>
      </c>
      <c r="Y5" s="158">
        <f t="shared" si="0"/>
        <v>46.1</v>
      </c>
      <c r="Z5" s="158">
        <f t="shared" si="0"/>
        <v>46.1</v>
      </c>
      <c r="AA5" s="158">
        <f t="shared" si="0"/>
        <v>46.1</v>
      </c>
    </row>
    <row r="7" spans="1:27">
      <c r="A7" s="5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 t="s">
        <v>112</v>
      </c>
      <c r="V7" t="s">
        <v>113</v>
      </c>
      <c r="W7" t="s">
        <v>114</v>
      </c>
      <c r="X7" t="s">
        <v>115</v>
      </c>
      <c r="Y7" t="s">
        <v>116</v>
      </c>
      <c r="Z7" t="s">
        <v>117</v>
      </c>
      <c r="AA7" t="s">
        <v>118</v>
      </c>
    </row>
    <row r="8" spans="1:27">
      <c r="A8" s="6" t="s">
        <v>119</v>
      </c>
      <c r="B8">
        <v>13.5</v>
      </c>
      <c r="C8">
        <v>13.5</v>
      </c>
      <c r="D8">
        <v>14.5</v>
      </c>
      <c r="E8">
        <v>14.5</v>
      </c>
      <c r="F8">
        <v>14.5</v>
      </c>
      <c r="G8">
        <v>14.5</v>
      </c>
      <c r="H8">
        <v>14.5</v>
      </c>
      <c r="I8">
        <v>14.5</v>
      </c>
      <c r="J8">
        <v>14.5</v>
      </c>
      <c r="K8">
        <v>14.5</v>
      </c>
      <c r="L8">
        <v>14.5</v>
      </c>
      <c r="M8">
        <v>14.5</v>
      </c>
      <c r="N8">
        <v>14.5</v>
      </c>
      <c r="O8">
        <v>14.5</v>
      </c>
      <c r="P8">
        <v>14.5</v>
      </c>
      <c r="Q8">
        <v>14.5</v>
      </c>
      <c r="R8">
        <v>15.5</v>
      </c>
      <c r="S8">
        <v>15.5</v>
      </c>
      <c r="T8">
        <v>15.5</v>
      </c>
      <c r="U8">
        <v>15.5</v>
      </c>
      <c r="V8">
        <v>15.5</v>
      </c>
      <c r="W8">
        <v>15.5</v>
      </c>
      <c r="X8">
        <v>15.5</v>
      </c>
      <c r="Y8">
        <v>15.5</v>
      </c>
      <c r="Z8">
        <v>15.5</v>
      </c>
      <c r="AA8">
        <v>15.5</v>
      </c>
    </row>
    <row r="9" spans="1:27">
      <c r="A9" s="6" t="s">
        <v>120</v>
      </c>
      <c r="B9">
        <v>0.4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0.4</v>
      </c>
      <c r="I9">
        <v>0.4</v>
      </c>
      <c r="J9">
        <v>0.4</v>
      </c>
      <c r="K9">
        <v>0.4</v>
      </c>
      <c r="L9">
        <v>0.4</v>
      </c>
      <c r="M9">
        <v>0.4</v>
      </c>
      <c r="N9">
        <v>0.4</v>
      </c>
      <c r="O9">
        <v>0.4</v>
      </c>
      <c r="P9">
        <v>0.4</v>
      </c>
      <c r="Q9">
        <v>0.4</v>
      </c>
      <c r="R9">
        <v>0.4</v>
      </c>
      <c r="S9">
        <v>0.4</v>
      </c>
      <c r="T9">
        <v>0.4</v>
      </c>
      <c r="U9">
        <v>0.4</v>
      </c>
      <c r="V9">
        <v>0.4</v>
      </c>
      <c r="W9">
        <v>0.4</v>
      </c>
      <c r="X9">
        <v>0.4</v>
      </c>
      <c r="Y9">
        <v>0.4</v>
      </c>
      <c r="Z9">
        <v>0.4</v>
      </c>
      <c r="AA9">
        <v>0.4</v>
      </c>
    </row>
    <row r="10" spans="1:27">
      <c r="A10" s="6" t="s">
        <v>121</v>
      </c>
      <c r="B10">
        <v>29</v>
      </c>
      <c r="C10">
        <v>29</v>
      </c>
      <c r="D10">
        <v>28</v>
      </c>
      <c r="E10">
        <v>27</v>
      </c>
      <c r="F10">
        <v>27</v>
      </c>
      <c r="G10">
        <v>27</v>
      </c>
      <c r="H10">
        <v>27</v>
      </c>
      <c r="I10">
        <v>27</v>
      </c>
      <c r="J10">
        <v>28</v>
      </c>
      <c r="K10">
        <v>28</v>
      </c>
      <c r="L10">
        <v>28</v>
      </c>
      <c r="M10">
        <v>28</v>
      </c>
      <c r="N10">
        <v>28</v>
      </c>
      <c r="O10">
        <v>29</v>
      </c>
      <c r="P10">
        <v>29</v>
      </c>
      <c r="Q10">
        <v>29</v>
      </c>
      <c r="R10">
        <v>29</v>
      </c>
      <c r="S10">
        <v>29</v>
      </c>
      <c r="T10">
        <v>29</v>
      </c>
      <c r="U10">
        <v>29</v>
      </c>
      <c r="V10">
        <v>29</v>
      </c>
      <c r="W10">
        <v>29</v>
      </c>
      <c r="X10">
        <v>29</v>
      </c>
      <c r="Y10">
        <v>29</v>
      </c>
      <c r="Z10">
        <v>29</v>
      </c>
      <c r="AA10">
        <v>29</v>
      </c>
    </row>
    <row r="11" spans="1:27">
      <c r="A11" s="6" t="s">
        <v>122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</row>
    <row r="12" spans="1:27">
      <c r="A12" s="6" t="s">
        <v>123</v>
      </c>
      <c r="B12">
        <v>46.9</v>
      </c>
      <c r="C12">
        <v>46.9</v>
      </c>
      <c r="D12">
        <v>46.9</v>
      </c>
      <c r="E12">
        <v>45.9</v>
      </c>
      <c r="F12">
        <v>45.9</v>
      </c>
      <c r="G12">
        <v>45.9</v>
      </c>
      <c r="H12">
        <v>45.9</v>
      </c>
      <c r="I12">
        <v>45.9</v>
      </c>
      <c r="J12">
        <v>46.9</v>
      </c>
      <c r="K12">
        <v>46.9</v>
      </c>
      <c r="L12">
        <v>46.9</v>
      </c>
      <c r="M12">
        <v>46.9</v>
      </c>
      <c r="N12">
        <v>46.9</v>
      </c>
      <c r="O12">
        <v>47.9</v>
      </c>
      <c r="P12">
        <v>47.9</v>
      </c>
      <c r="Q12">
        <v>47.9</v>
      </c>
      <c r="R12">
        <v>48.9</v>
      </c>
      <c r="S12">
        <v>48.9</v>
      </c>
      <c r="T12">
        <v>48.9</v>
      </c>
      <c r="U12">
        <v>48.9</v>
      </c>
      <c r="V12">
        <v>48.9</v>
      </c>
      <c r="W12">
        <v>48.9</v>
      </c>
      <c r="X12">
        <v>48.9</v>
      </c>
      <c r="Y12">
        <v>48.9</v>
      </c>
      <c r="Z12">
        <v>48.9</v>
      </c>
      <c r="AA12">
        <v>48.9</v>
      </c>
    </row>
    <row r="15" spans="1:27">
      <c r="A15" s="6" t="s">
        <v>124</v>
      </c>
      <c r="B15">
        <f>GETPIVOTDATA("합계 : 25-Nov",$A$22)</f>
        <v>41</v>
      </c>
      <c r="C15">
        <f t="shared" ref="C15:AA15" si="1">GETPIVOTDATA("합계 : 25-Nov",$A$22)</f>
        <v>41</v>
      </c>
      <c r="D15">
        <f t="shared" si="1"/>
        <v>41</v>
      </c>
      <c r="E15">
        <f t="shared" si="1"/>
        <v>41</v>
      </c>
      <c r="F15">
        <f t="shared" si="1"/>
        <v>41</v>
      </c>
      <c r="G15">
        <f t="shared" si="1"/>
        <v>41</v>
      </c>
      <c r="H15">
        <f t="shared" si="1"/>
        <v>41</v>
      </c>
      <c r="I15">
        <f t="shared" si="1"/>
        <v>41</v>
      </c>
      <c r="J15">
        <f t="shared" si="1"/>
        <v>41</v>
      </c>
      <c r="K15">
        <f t="shared" si="1"/>
        <v>41</v>
      </c>
      <c r="L15">
        <f t="shared" si="1"/>
        <v>41</v>
      </c>
      <c r="M15">
        <f t="shared" si="1"/>
        <v>41</v>
      </c>
      <c r="N15">
        <f t="shared" si="1"/>
        <v>41</v>
      </c>
      <c r="O15">
        <f t="shared" si="1"/>
        <v>41</v>
      </c>
      <c r="P15">
        <f t="shared" si="1"/>
        <v>41</v>
      </c>
      <c r="Q15">
        <f t="shared" si="1"/>
        <v>41</v>
      </c>
      <c r="R15">
        <f t="shared" si="1"/>
        <v>41</v>
      </c>
      <c r="S15">
        <f t="shared" si="1"/>
        <v>41</v>
      </c>
      <c r="T15">
        <f t="shared" si="1"/>
        <v>41</v>
      </c>
      <c r="U15">
        <f t="shared" si="1"/>
        <v>41</v>
      </c>
      <c r="V15">
        <f t="shared" si="1"/>
        <v>41</v>
      </c>
      <c r="W15">
        <f t="shared" si="1"/>
        <v>41</v>
      </c>
      <c r="X15">
        <f t="shared" si="1"/>
        <v>41</v>
      </c>
      <c r="Y15">
        <f t="shared" si="1"/>
        <v>41</v>
      </c>
      <c r="Z15">
        <f t="shared" si="1"/>
        <v>41</v>
      </c>
      <c r="AA15">
        <f t="shared" si="1"/>
        <v>41</v>
      </c>
    </row>
    <row r="16" spans="1:27">
      <c r="A16" s="6" t="s">
        <v>125</v>
      </c>
      <c r="B16">
        <f>SUM(B2:B3)</f>
        <v>3.5</v>
      </c>
      <c r="C16">
        <f t="shared" ref="C16:AA16" si="2">SUM(C2:C3)</f>
        <v>3.5</v>
      </c>
      <c r="D16">
        <f t="shared" si="2"/>
        <v>3.5</v>
      </c>
      <c r="E16">
        <f t="shared" si="2"/>
        <v>3.5</v>
      </c>
      <c r="F16">
        <f t="shared" si="2"/>
        <v>3.5</v>
      </c>
      <c r="G16">
        <f t="shared" si="2"/>
        <v>3.5</v>
      </c>
      <c r="H16">
        <f t="shared" si="2"/>
        <v>3.5</v>
      </c>
      <c r="I16">
        <f t="shared" si="2"/>
        <v>2.8</v>
      </c>
      <c r="J16">
        <f t="shared" si="2"/>
        <v>2.8</v>
      </c>
      <c r="K16">
        <f t="shared" si="2"/>
        <v>2.8</v>
      </c>
      <c r="L16">
        <f t="shared" si="2"/>
        <v>2.8</v>
      </c>
      <c r="M16">
        <f t="shared" si="2"/>
        <v>2.8</v>
      </c>
      <c r="N16">
        <f t="shared" si="2"/>
        <v>2.8</v>
      </c>
      <c r="O16">
        <f t="shared" si="2"/>
        <v>2.8</v>
      </c>
      <c r="P16">
        <f t="shared" si="2"/>
        <v>2.8</v>
      </c>
      <c r="Q16">
        <f t="shared" si="2"/>
        <v>2.8</v>
      </c>
      <c r="R16">
        <f t="shared" si="2"/>
        <v>2.8</v>
      </c>
      <c r="S16">
        <f t="shared" si="2"/>
        <v>2.8</v>
      </c>
      <c r="T16">
        <f t="shared" si="2"/>
        <v>2.8</v>
      </c>
      <c r="U16">
        <f t="shared" si="2"/>
        <v>2.8</v>
      </c>
      <c r="V16">
        <f t="shared" si="2"/>
        <v>2.8</v>
      </c>
      <c r="W16">
        <f t="shared" si="2"/>
        <v>2.8</v>
      </c>
      <c r="X16">
        <f t="shared" si="2"/>
        <v>2.8</v>
      </c>
      <c r="Y16">
        <f t="shared" si="2"/>
        <v>2.8</v>
      </c>
      <c r="Z16">
        <f t="shared" si="2"/>
        <v>2.8</v>
      </c>
      <c r="AA16">
        <f t="shared" si="2"/>
        <v>2.8</v>
      </c>
    </row>
    <row r="17" spans="1:27">
      <c r="A17" s="6" t="s">
        <v>126</v>
      </c>
      <c r="B17">
        <f>B4</f>
        <v>3</v>
      </c>
      <c r="C17">
        <f t="shared" ref="C17:AA17" si="3">C4</f>
        <v>3</v>
      </c>
      <c r="D17">
        <f t="shared" si="3"/>
        <v>3</v>
      </c>
      <c r="E17">
        <f t="shared" si="3"/>
        <v>3</v>
      </c>
      <c r="F17">
        <f t="shared" si="3"/>
        <v>3</v>
      </c>
      <c r="G17">
        <f t="shared" si="3"/>
        <v>3</v>
      </c>
      <c r="H17">
        <f t="shared" si="3"/>
        <v>3</v>
      </c>
      <c r="I17">
        <f t="shared" si="3"/>
        <v>3</v>
      </c>
      <c r="J17">
        <f t="shared" si="3"/>
        <v>3</v>
      </c>
      <c r="K17">
        <f t="shared" si="3"/>
        <v>3</v>
      </c>
      <c r="L17">
        <f t="shared" si="3"/>
        <v>3</v>
      </c>
      <c r="M17">
        <f t="shared" si="3"/>
        <v>3</v>
      </c>
      <c r="N17">
        <f t="shared" si="3"/>
        <v>3</v>
      </c>
      <c r="O17">
        <f t="shared" si="3"/>
        <v>3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0</v>
      </c>
      <c r="Z17">
        <f t="shared" si="3"/>
        <v>0</v>
      </c>
      <c r="AA17">
        <f t="shared" si="3"/>
        <v>0</v>
      </c>
    </row>
    <row r="18" spans="1:27">
      <c r="A18" s="6" t="s">
        <v>127</v>
      </c>
      <c r="B18" s="156">
        <f>B15-SUM(B16:B17)</f>
        <v>34.5</v>
      </c>
      <c r="C18" s="156">
        <f t="shared" ref="C18:AA18" si="4">C15-SUM(C16:C17)</f>
        <v>34.5</v>
      </c>
      <c r="D18" s="156">
        <f t="shared" si="4"/>
        <v>34.5</v>
      </c>
      <c r="E18" s="156">
        <f t="shared" si="4"/>
        <v>34.5</v>
      </c>
      <c r="F18" s="156">
        <f t="shared" si="4"/>
        <v>34.5</v>
      </c>
      <c r="G18" s="156">
        <f t="shared" si="4"/>
        <v>34.5</v>
      </c>
      <c r="H18" s="156">
        <f t="shared" si="4"/>
        <v>34.5</v>
      </c>
      <c r="I18" s="156">
        <f t="shared" si="4"/>
        <v>35.200000000000003</v>
      </c>
      <c r="J18" s="156">
        <f t="shared" si="4"/>
        <v>35.200000000000003</v>
      </c>
      <c r="K18" s="156">
        <f t="shared" si="4"/>
        <v>35.200000000000003</v>
      </c>
      <c r="L18" s="156">
        <f t="shared" si="4"/>
        <v>35.200000000000003</v>
      </c>
      <c r="M18" s="156">
        <f t="shared" si="4"/>
        <v>35.200000000000003</v>
      </c>
      <c r="N18" s="156">
        <f t="shared" si="4"/>
        <v>35.200000000000003</v>
      </c>
      <c r="O18" s="156">
        <f t="shared" si="4"/>
        <v>35.200000000000003</v>
      </c>
      <c r="P18" s="156">
        <f t="shared" si="4"/>
        <v>38.200000000000003</v>
      </c>
      <c r="Q18" s="156">
        <f t="shared" si="4"/>
        <v>38.200000000000003</v>
      </c>
      <c r="R18" s="156">
        <f t="shared" si="4"/>
        <v>38.200000000000003</v>
      </c>
      <c r="S18" s="156">
        <f t="shared" si="4"/>
        <v>38.200000000000003</v>
      </c>
      <c r="T18" s="156">
        <f t="shared" si="4"/>
        <v>38.200000000000003</v>
      </c>
      <c r="U18" s="156">
        <f t="shared" si="4"/>
        <v>38.200000000000003</v>
      </c>
      <c r="V18" s="156">
        <f t="shared" si="4"/>
        <v>38.200000000000003</v>
      </c>
      <c r="W18" s="156">
        <f t="shared" si="4"/>
        <v>38.200000000000003</v>
      </c>
      <c r="X18" s="156">
        <f t="shared" si="4"/>
        <v>38.200000000000003</v>
      </c>
      <c r="Y18" s="156">
        <f t="shared" si="4"/>
        <v>38.200000000000003</v>
      </c>
      <c r="Z18" s="156">
        <f t="shared" si="4"/>
        <v>38.200000000000003</v>
      </c>
      <c r="AA18" s="156">
        <f t="shared" si="4"/>
        <v>38.200000000000003</v>
      </c>
    </row>
    <row r="20" spans="1:27">
      <c r="A20" s="46" t="s">
        <v>128</v>
      </c>
    </row>
    <row r="22" spans="1:27">
      <c r="A22" s="5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  <c r="J22" t="s">
        <v>101</v>
      </c>
      <c r="K22" t="s">
        <v>102</v>
      </c>
      <c r="L22" t="s">
        <v>103</v>
      </c>
      <c r="M22" t="s">
        <v>104</v>
      </c>
      <c r="N22" t="s">
        <v>105</v>
      </c>
      <c r="O22" t="s">
        <v>106</v>
      </c>
      <c r="P22" t="s">
        <v>107</v>
      </c>
      <c r="Q22" t="s">
        <v>108</v>
      </c>
      <c r="R22" t="s">
        <v>109</v>
      </c>
      <c r="S22" t="s">
        <v>110</v>
      </c>
      <c r="T22" t="s">
        <v>111</v>
      </c>
      <c r="U22" t="s">
        <v>112</v>
      </c>
      <c r="V22" t="s">
        <v>113</v>
      </c>
      <c r="W22" t="s">
        <v>114</v>
      </c>
      <c r="X22" t="s">
        <v>115</v>
      </c>
      <c r="Y22" t="s">
        <v>116</v>
      </c>
      <c r="Z22" t="s">
        <v>117</v>
      </c>
      <c r="AA22" t="s">
        <v>118</v>
      </c>
    </row>
    <row r="23" spans="1:27">
      <c r="A23" s="6" t="s">
        <v>80</v>
      </c>
      <c r="B23">
        <v>4</v>
      </c>
      <c r="C23">
        <v>4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</row>
    <row r="24" spans="1:27">
      <c r="A24" s="6" t="s">
        <v>74</v>
      </c>
      <c r="B24">
        <v>7</v>
      </c>
      <c r="C24">
        <v>7</v>
      </c>
      <c r="D24">
        <v>7</v>
      </c>
      <c r="E24">
        <v>6</v>
      </c>
      <c r="F24">
        <v>6</v>
      </c>
      <c r="G24">
        <v>6</v>
      </c>
      <c r="H24">
        <v>6</v>
      </c>
      <c r="I24">
        <v>6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</row>
    <row r="25" spans="1:27">
      <c r="A25" s="6" t="s">
        <v>129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</row>
    <row r="26" spans="1:27">
      <c r="A26" s="6" t="s">
        <v>72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</row>
    <row r="27" spans="1:27">
      <c r="A27" s="6" t="s">
        <v>77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</row>
    <row r="28" spans="1:27">
      <c r="A28" s="6" t="s">
        <v>78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</row>
    <row r="29" spans="1:27">
      <c r="A29" s="6" t="s">
        <v>71</v>
      </c>
      <c r="B29">
        <v>10</v>
      </c>
      <c r="C29">
        <v>10</v>
      </c>
      <c r="D29">
        <v>9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>
        <v>9</v>
      </c>
      <c r="M29">
        <v>9</v>
      </c>
      <c r="N29">
        <v>9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</row>
    <row r="30" spans="1:27">
      <c r="A30" s="6" t="s">
        <v>70</v>
      </c>
      <c r="B30">
        <v>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</row>
    <row r="31" spans="1:27">
      <c r="A31" s="6" t="s">
        <v>130</v>
      </c>
    </row>
    <row r="32" spans="1:27">
      <c r="A32" s="6" t="s">
        <v>123</v>
      </c>
      <c r="B32">
        <v>41</v>
      </c>
      <c r="C32">
        <v>41</v>
      </c>
      <c r="D32">
        <v>41</v>
      </c>
      <c r="E32">
        <v>40</v>
      </c>
      <c r="F32">
        <v>40</v>
      </c>
      <c r="G32">
        <v>40</v>
      </c>
      <c r="H32">
        <v>40</v>
      </c>
      <c r="I32">
        <v>40</v>
      </c>
      <c r="J32">
        <v>41</v>
      </c>
      <c r="K32">
        <v>41</v>
      </c>
      <c r="L32">
        <v>41</v>
      </c>
      <c r="M32">
        <v>41</v>
      </c>
      <c r="N32">
        <v>41</v>
      </c>
      <c r="O32">
        <v>42</v>
      </c>
      <c r="P32">
        <v>42</v>
      </c>
      <c r="Q32">
        <v>42</v>
      </c>
      <c r="R32">
        <v>43</v>
      </c>
      <c r="S32">
        <v>43</v>
      </c>
      <c r="T32">
        <v>43</v>
      </c>
      <c r="U32">
        <v>43</v>
      </c>
      <c r="V32">
        <v>43</v>
      </c>
      <c r="W32">
        <v>43</v>
      </c>
      <c r="X32">
        <v>43</v>
      </c>
      <c r="Y32">
        <v>43</v>
      </c>
      <c r="Z32">
        <v>43</v>
      </c>
      <c r="AA32">
        <v>43</v>
      </c>
    </row>
    <row r="35" spans="1:27">
      <c r="A35" t="s">
        <v>131</v>
      </c>
    </row>
    <row r="37" spans="1:27">
      <c r="A37" s="5" t="s">
        <v>92</v>
      </c>
      <c r="B37" t="s">
        <v>93</v>
      </c>
      <c r="C37" t="s">
        <v>94</v>
      </c>
      <c r="D37" t="s">
        <v>95</v>
      </c>
      <c r="E37" t="s">
        <v>96</v>
      </c>
      <c r="F37" t="s">
        <v>97</v>
      </c>
      <c r="G37" t="s">
        <v>98</v>
      </c>
      <c r="H37" t="s">
        <v>99</v>
      </c>
      <c r="I37" t="s">
        <v>100</v>
      </c>
      <c r="J37" t="s">
        <v>101</v>
      </c>
      <c r="K37" t="s">
        <v>102</v>
      </c>
      <c r="L37" t="s">
        <v>103</v>
      </c>
      <c r="M37" t="s">
        <v>104</v>
      </c>
      <c r="N37" t="s">
        <v>105</v>
      </c>
      <c r="O37" t="s">
        <v>106</v>
      </c>
      <c r="P37" t="s">
        <v>107</v>
      </c>
      <c r="Q37" t="s">
        <v>108</v>
      </c>
      <c r="R37" t="s">
        <v>109</v>
      </c>
      <c r="S37" t="s">
        <v>110</v>
      </c>
      <c r="T37" t="s">
        <v>111</v>
      </c>
      <c r="U37" t="s">
        <v>112</v>
      </c>
      <c r="V37" t="s">
        <v>113</v>
      </c>
      <c r="W37" t="s">
        <v>114</v>
      </c>
      <c r="X37" t="s">
        <v>115</v>
      </c>
      <c r="Y37" t="s">
        <v>116</v>
      </c>
      <c r="Z37" t="s">
        <v>117</v>
      </c>
      <c r="AA37" t="s">
        <v>118</v>
      </c>
    </row>
    <row r="38" spans="1:27">
      <c r="A38" s="6" t="s">
        <v>119</v>
      </c>
      <c r="B38">
        <v>13.5</v>
      </c>
      <c r="C38">
        <v>13.5</v>
      </c>
      <c r="D38">
        <v>14.5</v>
      </c>
      <c r="E38">
        <v>14.5</v>
      </c>
      <c r="F38">
        <v>14.5</v>
      </c>
      <c r="G38">
        <v>14.5</v>
      </c>
      <c r="H38">
        <v>14.5</v>
      </c>
      <c r="I38">
        <v>14.5</v>
      </c>
      <c r="J38">
        <v>14.5</v>
      </c>
      <c r="K38">
        <v>14.5</v>
      </c>
      <c r="L38">
        <v>14.5</v>
      </c>
      <c r="M38">
        <v>14.5</v>
      </c>
      <c r="N38">
        <v>14.5</v>
      </c>
      <c r="O38">
        <v>14.5</v>
      </c>
      <c r="P38">
        <v>14.5</v>
      </c>
      <c r="Q38">
        <v>14.5</v>
      </c>
      <c r="R38">
        <v>15.5</v>
      </c>
      <c r="S38">
        <v>15.5</v>
      </c>
      <c r="T38">
        <v>15.5</v>
      </c>
      <c r="U38">
        <v>15.5</v>
      </c>
      <c r="V38">
        <v>15.5</v>
      </c>
      <c r="W38">
        <v>15.5</v>
      </c>
      <c r="X38">
        <v>15.5</v>
      </c>
      <c r="Y38">
        <v>15.5</v>
      </c>
      <c r="Z38">
        <v>15.5</v>
      </c>
      <c r="AA38">
        <v>15.5</v>
      </c>
    </row>
    <row r="39" spans="1:27">
      <c r="A39" s="6" t="s">
        <v>120</v>
      </c>
      <c r="B39">
        <v>0.4</v>
      </c>
      <c r="C39">
        <v>0.4</v>
      </c>
      <c r="D39">
        <v>0.4</v>
      </c>
      <c r="E39">
        <v>0.4</v>
      </c>
      <c r="F39">
        <v>0.4</v>
      </c>
      <c r="G39">
        <v>0.4</v>
      </c>
      <c r="H39">
        <v>0.4</v>
      </c>
      <c r="I39">
        <v>0.4</v>
      </c>
      <c r="J39">
        <v>0.4</v>
      </c>
      <c r="K39">
        <v>0.4</v>
      </c>
      <c r="L39">
        <v>0.4</v>
      </c>
      <c r="M39">
        <v>0.4</v>
      </c>
      <c r="N39">
        <v>0.4</v>
      </c>
      <c r="O39">
        <v>0.4</v>
      </c>
      <c r="P39">
        <v>0.4</v>
      </c>
      <c r="Q39">
        <v>0.4</v>
      </c>
      <c r="R39">
        <v>0.4</v>
      </c>
      <c r="S39">
        <v>0.4</v>
      </c>
      <c r="T39">
        <v>0.4</v>
      </c>
      <c r="U39">
        <v>0.4</v>
      </c>
      <c r="V39">
        <v>0.4</v>
      </c>
      <c r="W39">
        <v>0.4</v>
      </c>
      <c r="X39">
        <v>0.4</v>
      </c>
      <c r="Y39">
        <v>0.4</v>
      </c>
      <c r="Z39">
        <v>0.4</v>
      </c>
      <c r="AA39">
        <v>0.4</v>
      </c>
    </row>
    <row r="40" spans="1:27">
      <c r="A40" s="6" t="s">
        <v>121</v>
      </c>
      <c r="B40">
        <v>29</v>
      </c>
      <c r="C40">
        <v>29</v>
      </c>
      <c r="D40">
        <v>28</v>
      </c>
      <c r="E40">
        <v>27</v>
      </c>
      <c r="F40">
        <v>27</v>
      </c>
      <c r="G40">
        <v>27</v>
      </c>
      <c r="H40">
        <v>27</v>
      </c>
      <c r="I40">
        <v>27</v>
      </c>
      <c r="J40">
        <v>28</v>
      </c>
      <c r="K40">
        <v>28</v>
      </c>
      <c r="L40">
        <v>28</v>
      </c>
      <c r="M40">
        <v>28</v>
      </c>
      <c r="N40">
        <v>28</v>
      </c>
      <c r="O40">
        <v>29</v>
      </c>
      <c r="P40">
        <v>29</v>
      </c>
      <c r="Q40">
        <v>29</v>
      </c>
      <c r="R40">
        <v>29</v>
      </c>
      <c r="S40">
        <v>29</v>
      </c>
      <c r="T40">
        <v>29</v>
      </c>
      <c r="U40">
        <v>29</v>
      </c>
      <c r="V40">
        <v>29</v>
      </c>
      <c r="W40">
        <v>29</v>
      </c>
      <c r="X40">
        <v>29</v>
      </c>
      <c r="Y40">
        <v>29</v>
      </c>
      <c r="Z40">
        <v>29</v>
      </c>
      <c r="AA40">
        <v>29</v>
      </c>
    </row>
    <row r="41" spans="1:27">
      <c r="A41" s="6" t="s">
        <v>122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</row>
    <row r="42" spans="1:27">
      <c r="A42" s="6" t="s">
        <v>123</v>
      </c>
      <c r="B42">
        <v>46.9</v>
      </c>
      <c r="C42">
        <v>46.9</v>
      </c>
      <c r="D42">
        <v>46.9</v>
      </c>
      <c r="E42">
        <v>45.9</v>
      </c>
      <c r="F42">
        <v>45.9</v>
      </c>
      <c r="G42">
        <v>45.9</v>
      </c>
      <c r="H42">
        <v>45.9</v>
      </c>
      <c r="I42">
        <v>45.9</v>
      </c>
      <c r="J42">
        <v>46.9</v>
      </c>
      <c r="K42">
        <v>46.9</v>
      </c>
      <c r="L42">
        <v>46.9</v>
      </c>
      <c r="M42">
        <v>46.9</v>
      </c>
      <c r="N42">
        <v>46.9</v>
      </c>
      <c r="O42">
        <v>47.9</v>
      </c>
      <c r="P42">
        <v>47.9</v>
      </c>
      <c r="Q42">
        <v>47.9</v>
      </c>
      <c r="R42">
        <v>48.9</v>
      </c>
      <c r="S42">
        <v>48.9</v>
      </c>
      <c r="T42">
        <v>48.9</v>
      </c>
      <c r="U42">
        <v>48.9</v>
      </c>
      <c r="V42">
        <v>48.9</v>
      </c>
      <c r="W42">
        <v>48.9</v>
      </c>
      <c r="X42">
        <v>48.9</v>
      </c>
      <c r="Y42">
        <v>48.9</v>
      </c>
      <c r="Z42">
        <v>48.9</v>
      </c>
      <c r="AA42">
        <v>48.9</v>
      </c>
    </row>
  </sheetData>
  <phoneticPr fontId="1" type="noConversion"/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18E2-9044-4A70-9F10-4D357EC09A7F}">
  <sheetPr>
    <tabColor rgb="FFFFC000"/>
  </sheetPr>
  <dimension ref="A1:V17"/>
  <sheetViews>
    <sheetView workbookViewId="0">
      <selection activeCell="A13" sqref="A13"/>
    </sheetView>
  </sheetViews>
  <sheetFormatPr defaultRowHeight="16.5"/>
  <cols>
    <col min="1" max="1" width="15.125" bestFit="1" customWidth="1"/>
    <col min="2" max="2" width="14.25" bestFit="1" customWidth="1"/>
    <col min="3" max="3" width="13.875" bestFit="1" customWidth="1"/>
    <col min="4" max="4" width="13.375" bestFit="1" customWidth="1"/>
    <col min="5" max="5" width="13.75" bestFit="1" customWidth="1"/>
    <col min="6" max="6" width="14.125" bestFit="1" customWidth="1"/>
    <col min="7" max="7" width="13.875" bestFit="1" customWidth="1"/>
    <col min="8" max="8" width="14.375" bestFit="1" customWidth="1"/>
    <col min="9" max="9" width="13.625" bestFit="1" customWidth="1"/>
    <col min="10" max="10" width="12.875" bestFit="1" customWidth="1"/>
    <col min="11" max="11" width="14.25" bestFit="1" customWidth="1"/>
    <col min="12" max="13" width="13.75" bestFit="1" customWidth="1"/>
    <col min="14" max="14" width="14.25" bestFit="1" customWidth="1"/>
    <col min="15" max="15" width="13.875" bestFit="1" customWidth="1"/>
    <col min="16" max="16" width="15.125" bestFit="1" customWidth="1"/>
    <col min="17" max="17" width="15.375" bestFit="1" customWidth="1"/>
    <col min="18" max="18" width="16.125" bestFit="1" customWidth="1"/>
    <col min="19" max="19" width="15.25" bestFit="1" customWidth="1"/>
    <col min="20" max="20" width="15.375" bestFit="1" customWidth="1"/>
    <col min="21" max="21" width="15.875" bestFit="1" customWidth="1"/>
    <col min="22" max="22" width="15.5" bestFit="1" customWidth="1"/>
  </cols>
  <sheetData>
    <row r="1" spans="1:22">
      <c r="A1" s="79" t="s">
        <v>132</v>
      </c>
      <c r="B1" t="str">
        <f t="shared" ref="B1:T1" si="0">B12</f>
        <v>합계 : 25-Nov</v>
      </c>
      <c r="C1" t="str">
        <f t="shared" si="0"/>
        <v>합계 : 25-Dec</v>
      </c>
      <c r="D1" t="str">
        <f t="shared" si="0"/>
        <v>합계 : 26-Jan</v>
      </c>
      <c r="E1" t="str">
        <f t="shared" si="0"/>
        <v>합계 : 26-Feb</v>
      </c>
      <c r="F1" t="str">
        <f t="shared" si="0"/>
        <v>합계 : 26-Mar</v>
      </c>
      <c r="G1" t="str">
        <f t="shared" si="0"/>
        <v>합계 : 26-Apr</v>
      </c>
      <c r="H1" t="str">
        <f t="shared" si="0"/>
        <v>합계 : 26-May</v>
      </c>
      <c r="I1" t="str">
        <f t="shared" si="0"/>
        <v>합계 : 26-Jun</v>
      </c>
      <c r="J1" t="str">
        <f t="shared" si="0"/>
        <v>합계 : 26-Jul</v>
      </c>
      <c r="K1" t="str">
        <f t="shared" si="0"/>
        <v>합계 : 26-Aug</v>
      </c>
      <c r="L1" t="str">
        <f t="shared" si="0"/>
        <v>합계 : 26-Sep</v>
      </c>
      <c r="M1" t="str">
        <f t="shared" si="0"/>
        <v>합계 : 26-Oct</v>
      </c>
      <c r="N1" t="str">
        <f t="shared" si="0"/>
        <v>합계 : 26-Nov</v>
      </c>
      <c r="O1" t="str">
        <f t="shared" si="0"/>
        <v>합계 : 26-Dec</v>
      </c>
      <c r="P1" t="str">
        <f t="shared" si="0"/>
        <v>Sum of 27-Jan</v>
      </c>
      <c r="Q1" t="str">
        <f t="shared" si="0"/>
        <v>Sum of 27-Feb</v>
      </c>
      <c r="R1" t="str">
        <f t="shared" si="0"/>
        <v>Sum of 27-May</v>
      </c>
      <c r="S1" t="str">
        <f t="shared" si="0"/>
        <v>Sum of 27-Jun</v>
      </c>
      <c r="T1" t="str">
        <f t="shared" si="0"/>
        <v>Sum of 27-Oct</v>
      </c>
      <c r="U1" t="str">
        <f>U12</f>
        <v>Sum of 27-Nov</v>
      </c>
      <c r="V1" t="str">
        <f>V12</f>
        <v>Sum of 27-Dec</v>
      </c>
    </row>
    <row r="2" spans="1:22">
      <c r="A2" t="str">
        <f t="shared" ref="A2" si="1">A13</f>
        <v>Control Eng.</v>
      </c>
      <c r="B2">
        <f>P1_정원!B8-B13</f>
        <v>-3</v>
      </c>
      <c r="C2">
        <f>P1_정원!C8-C13</f>
        <v>-2.4999999999999982</v>
      </c>
      <c r="D2">
        <f>P1_정원!D8-D13</f>
        <v>-4.0999999999999979</v>
      </c>
      <c r="E2">
        <f>P1_정원!E8-E13</f>
        <v>-3.899999999999995</v>
      </c>
      <c r="F2">
        <f>P1_정원!F8-F13</f>
        <v>-3.8000000000000007</v>
      </c>
      <c r="G2">
        <f>P1_정원!G8-G13</f>
        <v>-3.9999999999999964</v>
      </c>
      <c r="H2">
        <f>P1_정원!H8-H13</f>
        <v>-3.4999999999999964</v>
      </c>
      <c r="I2">
        <f>P1_정원!I8-I13</f>
        <v>-2.8000000000000007</v>
      </c>
      <c r="J2">
        <f>P1_정원!J8-J13</f>
        <v>-4.1000000000000014</v>
      </c>
      <c r="K2">
        <f>P1_정원!K8-K13</f>
        <v>-2.7999999999999972</v>
      </c>
      <c r="L2">
        <f>P1_정원!L8-L13</f>
        <v>-2.5999999999999979</v>
      </c>
      <c r="M2">
        <f>P1_정원!M8-M13</f>
        <v>-2.5999999999999979</v>
      </c>
      <c r="N2">
        <f>P1_정원!N8-N13</f>
        <v>-2.5999999999999979</v>
      </c>
      <c r="O2">
        <f>P1_정원!O8-O13</f>
        <v>-2.5999999999999979</v>
      </c>
      <c r="P2">
        <f>P1_정원!P8-P13</f>
        <v>-2.5999999999999979</v>
      </c>
      <c r="Q2">
        <f>P1_정원!Q8-Q13</f>
        <v>-3.5999999999999979</v>
      </c>
      <c r="R2">
        <f>P1_정원!R8-R13</f>
        <v>-2.4999999999999964</v>
      </c>
      <c r="S2">
        <f>P1_정원!S8-S13</f>
        <v>-2.4999999999999964</v>
      </c>
      <c r="T2">
        <f>P1_정원!T8-T13</f>
        <v>5.4</v>
      </c>
      <c r="U2">
        <f>P1_정원!U8-U13</f>
        <v>8.6999999999999993</v>
      </c>
      <c r="V2">
        <f>P1_정원!V8-V13</f>
        <v>8.6999999999999993</v>
      </c>
    </row>
    <row r="3" spans="1:22">
      <c r="A3" t="str">
        <f>A14</f>
        <v>Engineering</v>
      </c>
      <c r="B3">
        <f>P1_정원!B9-B14</f>
        <v>0</v>
      </c>
      <c r="C3">
        <f>P1_정원!C9-C14</f>
        <v>0</v>
      </c>
      <c r="D3">
        <f>P1_정원!D9-D14</f>
        <v>-9.9999999999999978E-2</v>
      </c>
      <c r="E3">
        <f>P1_정원!E9-E14</f>
        <v>-9.9999999999999978E-2</v>
      </c>
      <c r="F3">
        <f>P1_정원!F9-F14</f>
        <v>-9.9999999999999978E-2</v>
      </c>
      <c r="G3">
        <f>P1_정원!G9-G14</f>
        <v>0</v>
      </c>
      <c r="H3">
        <f>P1_정원!H9-H14</f>
        <v>0</v>
      </c>
      <c r="I3">
        <f>P1_정원!I9-I14</f>
        <v>0</v>
      </c>
      <c r="J3">
        <f>P1_정원!J9-J14</f>
        <v>-9.9999999999999978E-2</v>
      </c>
      <c r="K3">
        <f>P1_정원!K9-K14</f>
        <v>0</v>
      </c>
      <c r="L3">
        <f>P1_정원!L9-L14</f>
        <v>9.9999999999999978E-2</v>
      </c>
      <c r="M3">
        <f>P1_정원!M9-M14</f>
        <v>9.9999999999999978E-2</v>
      </c>
      <c r="N3">
        <f>P1_정원!N9-N14</f>
        <v>9.9999999999999978E-2</v>
      </c>
      <c r="O3">
        <f>P1_정원!O9-O14</f>
        <v>9.9999999999999978E-2</v>
      </c>
      <c r="P3">
        <f>P1_정원!P9-P14</f>
        <v>9.9999999999999978E-2</v>
      </c>
      <c r="Q3">
        <f>P1_정원!Q9-Q14</f>
        <v>9.9999999999999978E-2</v>
      </c>
      <c r="R3">
        <f>P1_정원!R9-R14</f>
        <v>9.9999999999999978E-2</v>
      </c>
      <c r="S3">
        <f>P1_정원!S9-S14</f>
        <v>9.9999999999999978E-2</v>
      </c>
      <c r="T3">
        <f>P1_정원!T9-T14</f>
        <v>0.2</v>
      </c>
      <c r="U3">
        <f>P1_정원!U9-U14</f>
        <v>0.30000000000000004</v>
      </c>
      <c r="V3">
        <f>P1_정원!V9-V14</f>
        <v>0.30000000000000004</v>
      </c>
    </row>
    <row r="4" spans="1:22">
      <c r="A4" t="str">
        <f>A15</f>
        <v>NPI IS</v>
      </c>
      <c r="B4">
        <f>P1_정원!B10-B15</f>
        <v>1.5999999999999908</v>
      </c>
      <c r="C4">
        <f>P1_정원!C10-C15</f>
        <v>-0.80000000000001137</v>
      </c>
      <c r="D4">
        <f>P1_정원!D10-D15</f>
        <v>0.99999999999998934</v>
      </c>
      <c r="E4">
        <f>P1_정원!E10-E15</f>
        <v>0.59999999999998721</v>
      </c>
      <c r="F4">
        <f>P1_정원!F10-F15</f>
        <v>0.69999999999999218</v>
      </c>
      <c r="G4">
        <f>P1_정원!G10-G15</f>
        <v>1.3999999999999915</v>
      </c>
      <c r="H4">
        <f>P1_정원!H10-H15</f>
        <v>1.3999999999999915</v>
      </c>
      <c r="I4">
        <f>P1_정원!I10-I15</f>
        <v>1.4999999999999893</v>
      </c>
      <c r="J4">
        <f>P1_정원!J10-J15</f>
        <v>-2.2000000000000135</v>
      </c>
      <c r="K4">
        <f>P1_정원!K10-K15</f>
        <v>0.99999999999999645</v>
      </c>
      <c r="L4">
        <f>P1_정원!L10-L15</f>
        <v>4.3000000000000007</v>
      </c>
      <c r="M4">
        <f>P1_정원!M10-M15</f>
        <v>0.30000000000000071</v>
      </c>
      <c r="N4">
        <f>P1_정원!N10-N15</f>
        <v>0.30000000000000071</v>
      </c>
      <c r="O4">
        <f>P1_정원!O10-O15</f>
        <v>1.3000000000000007</v>
      </c>
      <c r="P4">
        <f>P1_정원!P10-P15</f>
        <v>4.3000000000000007</v>
      </c>
      <c r="Q4">
        <f>P1_정원!Q10-Q15</f>
        <v>4.3000000000000007</v>
      </c>
      <c r="R4">
        <f>P1_정원!R10-R15</f>
        <v>4.3999999999999986</v>
      </c>
      <c r="S4">
        <f>P1_정원!S10-S15</f>
        <v>4.3999999999999986</v>
      </c>
      <c r="T4">
        <f>P1_정원!T10-T15</f>
        <v>16</v>
      </c>
      <c r="U4">
        <f>P1_정원!U10-U15</f>
        <v>22.7</v>
      </c>
      <c r="V4">
        <f>P1_정원!V10-V15</f>
        <v>22.7</v>
      </c>
    </row>
    <row r="5" spans="1:22">
      <c r="A5" t="str">
        <f>A16</f>
        <v>PMO</v>
      </c>
      <c r="B5">
        <f>P1_정원!B11-B16</f>
        <v>-0.40000000000000036</v>
      </c>
      <c r="C5">
        <f>P1_정원!C11-C16</f>
        <v>-0.5</v>
      </c>
      <c r="D5">
        <f>P1_정원!D11-D16</f>
        <v>-0.80000000000000071</v>
      </c>
      <c r="E5">
        <f>P1_정원!E11-E16</f>
        <v>-0.70000000000000018</v>
      </c>
      <c r="F5">
        <f>P1_정원!F11-F16</f>
        <v>-0.60000000000000053</v>
      </c>
      <c r="G5">
        <f>P1_정원!G11-G16</f>
        <v>-0.20000000000000018</v>
      </c>
      <c r="H5">
        <f>P1_정원!H11-H16</f>
        <v>-0.20000000000000018</v>
      </c>
      <c r="I5">
        <f>P1_정원!I11-I16</f>
        <v>-0.20000000000000018</v>
      </c>
      <c r="J5">
        <f>P1_정원!J11-J16</f>
        <v>-0.90000000000000036</v>
      </c>
      <c r="K5">
        <f>P1_정원!K11-K16</f>
        <v>-0.29999999999999982</v>
      </c>
      <c r="L5">
        <f>P1_정원!L11-L16</f>
        <v>0.39999999999999991</v>
      </c>
      <c r="M5">
        <f>P1_정원!M11-M16</f>
        <v>0.39999999999999991</v>
      </c>
      <c r="N5">
        <f>P1_정원!N11-N16</f>
        <v>0.39999999999999991</v>
      </c>
      <c r="O5">
        <f>P1_정원!O11-O16</f>
        <v>0.39999999999999991</v>
      </c>
      <c r="P5">
        <f>P1_정원!P11-P16</f>
        <v>0.49999999999999956</v>
      </c>
      <c r="Q5">
        <f>P1_정원!Q11-Q16</f>
        <v>0.49999999999999956</v>
      </c>
      <c r="R5">
        <f>P1_정원!R11-R16</f>
        <v>1.0999999999999996</v>
      </c>
      <c r="S5">
        <f>P1_정원!S11-S16</f>
        <v>1.0999999999999996</v>
      </c>
      <c r="T5">
        <f>P1_정원!T11-T16</f>
        <v>2.8</v>
      </c>
      <c r="U5">
        <f>P1_정원!U11-U16</f>
        <v>3.4</v>
      </c>
      <c r="V5">
        <f>P1_정원!V11-V16</f>
        <v>3.4</v>
      </c>
    </row>
    <row r="6" spans="1:22">
      <c r="A6" t="str">
        <f>A17</f>
        <v>총합계</v>
      </c>
      <c r="B6">
        <f>P1_정원!B12-B17</f>
        <v>-1.8000000000000114</v>
      </c>
      <c r="C6">
        <f>P1_정원!C12-C17</f>
        <v>-3.8000000000000114</v>
      </c>
      <c r="D6">
        <f>P1_정원!D12-D17</f>
        <v>-4.0000000000000071</v>
      </c>
      <c r="E6">
        <f>P1_정원!E12-E17</f>
        <v>-4.1000000000000156</v>
      </c>
      <c r="F6">
        <f>P1_정원!F12-F17</f>
        <v>-3.8000000000000114</v>
      </c>
      <c r="G6">
        <f>P1_정원!G12-G17</f>
        <v>-2.8000000000000043</v>
      </c>
      <c r="H6">
        <f>P1_정원!H12-H17</f>
        <v>-2.3000000000000043</v>
      </c>
      <c r="I6">
        <f>P1_정원!I12-I17</f>
        <v>-1.5000000000000142</v>
      </c>
      <c r="J6">
        <f>P1_정원!J12-J17</f>
        <v>-7.3000000000000114</v>
      </c>
      <c r="K6">
        <f>P1_정원!K12-K17</f>
        <v>-2.1000000000000014</v>
      </c>
      <c r="L6">
        <f>P1_정원!L12-L17</f>
        <v>2.2000000000000028</v>
      </c>
      <c r="M6">
        <f>P1_정원!M12-M17</f>
        <v>-1.7999999999999972</v>
      </c>
      <c r="N6">
        <f>P1_정원!N12-N17</f>
        <v>-1.7999999999999972</v>
      </c>
      <c r="O6">
        <f>P1_정원!O12-O17</f>
        <v>-0.79999999999999716</v>
      </c>
      <c r="P6">
        <f>P1_정원!P12-P17</f>
        <v>2.3000000000000043</v>
      </c>
      <c r="Q6">
        <f>P1_정원!Q12-Q17</f>
        <v>1.3000000000000043</v>
      </c>
      <c r="R6">
        <f>P1_정원!R12-R17</f>
        <v>3.1000000000000014</v>
      </c>
      <c r="S6">
        <f>P1_정원!S12-S17</f>
        <v>3.1000000000000014</v>
      </c>
      <c r="T6">
        <f>P1_정원!T12-T17</f>
        <v>24.400000000000002</v>
      </c>
      <c r="U6">
        <f>P1_정원!U12-U17</f>
        <v>35.1</v>
      </c>
      <c r="V6">
        <f>P1_정원!V12-V17</f>
        <v>35.1</v>
      </c>
    </row>
    <row r="7" spans="1:22">
      <c r="B7">
        <f>P1_정원!B13-B18</f>
        <v>0</v>
      </c>
      <c r="C7">
        <f>P1_정원!C13-C18</f>
        <v>0</v>
      </c>
      <c r="D7">
        <f>P1_정원!D13-D18</f>
        <v>0</v>
      </c>
      <c r="E7">
        <f>P1_정원!E13-E18</f>
        <v>0</v>
      </c>
      <c r="F7">
        <f>P1_정원!F13-F18</f>
        <v>0</v>
      </c>
      <c r="G7">
        <f>P1_정원!G13-G18</f>
        <v>0</v>
      </c>
      <c r="H7">
        <f>P1_정원!H13-H18</f>
        <v>0</v>
      </c>
      <c r="I7">
        <f>P1_정원!I13-I18</f>
        <v>0</v>
      </c>
      <c r="J7">
        <f>P1_정원!J13-J18</f>
        <v>0</v>
      </c>
      <c r="K7">
        <f>P1_정원!K13-K18</f>
        <v>0</v>
      </c>
      <c r="L7">
        <f>P1_정원!L13-L18</f>
        <v>0</v>
      </c>
      <c r="M7">
        <f>P1_정원!M13-M18</f>
        <v>0</v>
      </c>
      <c r="N7">
        <f>P1_정원!N13-N18</f>
        <v>0</v>
      </c>
      <c r="O7">
        <f>P1_정원!O13-O18</f>
        <v>0</v>
      </c>
      <c r="P7">
        <f>P1_정원!P13-P18</f>
        <v>0</v>
      </c>
      <c r="Q7">
        <f>P1_정원!Q13-Q18</f>
        <v>0</v>
      </c>
      <c r="R7">
        <f>P1_정원!R13-R18</f>
        <v>0</v>
      </c>
      <c r="S7">
        <f>P1_정원!S13-S18</f>
        <v>0</v>
      </c>
      <c r="T7">
        <f>P1_정원!T13-T18</f>
        <v>0</v>
      </c>
    </row>
    <row r="9" spans="1:22">
      <c r="A9" s="5" t="s">
        <v>59</v>
      </c>
      <c r="B9" t="s">
        <v>133</v>
      </c>
    </row>
    <row r="10" spans="1:22">
      <c r="A10" s="5" t="s">
        <v>57</v>
      </c>
      <c r="B10" t="s">
        <v>134</v>
      </c>
    </row>
    <row r="12" spans="1:22">
      <c r="A12" s="5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  <c r="P12" t="s">
        <v>107</v>
      </c>
      <c r="Q12" t="s">
        <v>108</v>
      </c>
      <c r="R12" t="s">
        <v>111</v>
      </c>
      <c r="S12" t="s">
        <v>112</v>
      </c>
      <c r="T12" t="s">
        <v>116</v>
      </c>
      <c r="U12" t="s">
        <v>117</v>
      </c>
      <c r="V12" t="s">
        <v>118</v>
      </c>
    </row>
    <row r="13" spans="1:22">
      <c r="A13" s="6" t="s">
        <v>119</v>
      </c>
      <c r="B13">
        <v>16.5</v>
      </c>
      <c r="C13">
        <v>15.999999999999998</v>
      </c>
      <c r="D13">
        <v>18.599999999999998</v>
      </c>
      <c r="E13">
        <v>18.399999999999995</v>
      </c>
      <c r="F13">
        <v>18.3</v>
      </c>
      <c r="G13">
        <v>18.499999999999996</v>
      </c>
      <c r="H13">
        <v>17.999999999999996</v>
      </c>
      <c r="I13">
        <v>17.3</v>
      </c>
      <c r="J13">
        <v>18.600000000000001</v>
      </c>
      <c r="K13">
        <v>17.299999999999997</v>
      </c>
      <c r="L13">
        <v>17.099999999999998</v>
      </c>
      <c r="M13">
        <v>17.099999999999998</v>
      </c>
      <c r="N13">
        <v>17.099999999999998</v>
      </c>
      <c r="O13">
        <v>17.099999999999998</v>
      </c>
      <c r="P13">
        <v>17.099999999999998</v>
      </c>
      <c r="Q13">
        <v>18.099999999999998</v>
      </c>
      <c r="R13">
        <v>17.999999999999996</v>
      </c>
      <c r="S13">
        <v>17.999999999999996</v>
      </c>
      <c r="T13">
        <v>10.1</v>
      </c>
      <c r="U13">
        <v>6.8</v>
      </c>
      <c r="V13">
        <v>6.8</v>
      </c>
    </row>
    <row r="14" spans="1:22">
      <c r="A14" s="6" t="s">
        <v>120</v>
      </c>
      <c r="B14">
        <v>0.4</v>
      </c>
      <c r="C14">
        <v>0.4</v>
      </c>
      <c r="D14">
        <v>0.5</v>
      </c>
      <c r="E14">
        <v>0.5</v>
      </c>
      <c r="F14">
        <v>0.5</v>
      </c>
      <c r="G14">
        <v>0.4</v>
      </c>
      <c r="H14">
        <v>0.4</v>
      </c>
      <c r="I14">
        <v>0.4</v>
      </c>
      <c r="J14">
        <v>0.5</v>
      </c>
      <c r="K14">
        <v>0.4</v>
      </c>
      <c r="L14">
        <v>0.30000000000000004</v>
      </c>
      <c r="M14">
        <v>0.30000000000000004</v>
      </c>
      <c r="N14">
        <v>0.30000000000000004</v>
      </c>
      <c r="O14">
        <v>0.30000000000000004</v>
      </c>
      <c r="P14">
        <v>0.30000000000000004</v>
      </c>
      <c r="Q14">
        <v>0.30000000000000004</v>
      </c>
      <c r="R14">
        <v>0.30000000000000004</v>
      </c>
      <c r="S14">
        <v>0.30000000000000004</v>
      </c>
      <c r="T14">
        <v>0.2</v>
      </c>
      <c r="U14">
        <v>0.1</v>
      </c>
      <c r="V14">
        <v>0.1</v>
      </c>
    </row>
    <row r="15" spans="1:22">
      <c r="A15" s="6" t="s">
        <v>121</v>
      </c>
      <c r="B15">
        <v>27.400000000000009</v>
      </c>
      <c r="C15">
        <v>29.800000000000011</v>
      </c>
      <c r="D15">
        <v>27.000000000000011</v>
      </c>
      <c r="E15">
        <v>26.400000000000013</v>
      </c>
      <c r="F15">
        <v>26.300000000000008</v>
      </c>
      <c r="G15">
        <v>25.600000000000009</v>
      </c>
      <c r="H15">
        <v>25.600000000000009</v>
      </c>
      <c r="I15">
        <v>25.500000000000011</v>
      </c>
      <c r="J15">
        <v>30.200000000000014</v>
      </c>
      <c r="K15">
        <v>27.000000000000004</v>
      </c>
      <c r="L15">
        <v>23.7</v>
      </c>
      <c r="M15">
        <v>27.7</v>
      </c>
      <c r="N15">
        <v>27.7</v>
      </c>
      <c r="O15">
        <v>27.7</v>
      </c>
      <c r="P15">
        <v>24.7</v>
      </c>
      <c r="Q15">
        <v>24.7</v>
      </c>
      <c r="R15">
        <v>24.6</v>
      </c>
      <c r="S15">
        <v>24.6</v>
      </c>
      <c r="T15">
        <v>12.999999999999998</v>
      </c>
      <c r="U15">
        <v>6.3</v>
      </c>
      <c r="V15">
        <v>6.3</v>
      </c>
    </row>
    <row r="16" spans="1:22">
      <c r="A16" s="6" t="s">
        <v>122</v>
      </c>
      <c r="B16">
        <v>4.4000000000000004</v>
      </c>
      <c r="C16">
        <v>4.5</v>
      </c>
      <c r="D16">
        <v>4.8000000000000007</v>
      </c>
      <c r="E16">
        <v>4.7</v>
      </c>
      <c r="F16">
        <v>4.6000000000000005</v>
      </c>
      <c r="G16">
        <v>4.2</v>
      </c>
      <c r="H16">
        <v>4.2</v>
      </c>
      <c r="I16">
        <v>4.2</v>
      </c>
      <c r="J16">
        <v>4.9000000000000004</v>
      </c>
      <c r="K16">
        <v>4.3</v>
      </c>
      <c r="L16">
        <v>3.6</v>
      </c>
      <c r="M16">
        <v>3.6</v>
      </c>
      <c r="N16">
        <v>3.6</v>
      </c>
      <c r="O16">
        <v>3.6</v>
      </c>
      <c r="P16">
        <v>3.5000000000000004</v>
      </c>
      <c r="Q16">
        <v>3.5000000000000004</v>
      </c>
      <c r="R16">
        <v>2.9000000000000004</v>
      </c>
      <c r="S16">
        <v>2.9000000000000004</v>
      </c>
      <c r="T16">
        <v>1.2000000000000002</v>
      </c>
      <c r="U16">
        <v>0.6</v>
      </c>
      <c r="V16">
        <v>0.6</v>
      </c>
    </row>
    <row r="17" spans="1:22">
      <c r="A17" s="6" t="s">
        <v>123</v>
      </c>
      <c r="B17">
        <v>48.70000000000001</v>
      </c>
      <c r="C17">
        <v>50.70000000000001</v>
      </c>
      <c r="D17">
        <v>50.900000000000006</v>
      </c>
      <c r="E17">
        <v>50.000000000000014</v>
      </c>
      <c r="F17">
        <v>49.70000000000001</v>
      </c>
      <c r="G17">
        <v>48.7</v>
      </c>
      <c r="H17">
        <v>48.2</v>
      </c>
      <c r="I17">
        <v>47.400000000000013</v>
      </c>
      <c r="J17">
        <v>54.20000000000001</v>
      </c>
      <c r="K17">
        <v>49</v>
      </c>
      <c r="L17">
        <v>44.699999999999996</v>
      </c>
      <c r="M17">
        <v>48.699999999999996</v>
      </c>
      <c r="N17">
        <v>48.699999999999996</v>
      </c>
      <c r="O17">
        <v>48.699999999999996</v>
      </c>
      <c r="P17">
        <v>45.599999999999994</v>
      </c>
      <c r="Q17">
        <v>46.599999999999994</v>
      </c>
      <c r="R17">
        <v>45.8</v>
      </c>
      <c r="S17">
        <v>45.8</v>
      </c>
      <c r="T17">
        <v>24.499999999999996</v>
      </c>
      <c r="U17">
        <v>13.799999999999999</v>
      </c>
      <c r="V17">
        <v>13.799999999999999</v>
      </c>
    </row>
  </sheetData>
  <phoneticPr fontId="1" type="noConversion"/>
  <conditionalFormatting sqref="B7:XFD8 A2:XFD6">
    <cfRule type="colorScale" priority="1">
      <colorScale>
        <cfvo type="min"/>
        <cfvo type="num" val="0"/>
        <cfvo type="max"/>
        <color rgb="FFFF7C80"/>
        <color theme="0"/>
        <color rgb="FF00CC99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89ED-8D1D-4DEE-975B-DC8343FE9FBA}">
  <sheetPr>
    <tabColor theme="7" tint="0.79998168889431442"/>
  </sheetPr>
  <dimension ref="A1:V24"/>
  <sheetViews>
    <sheetView zoomScale="85" zoomScaleNormal="85" workbookViewId="0">
      <selection activeCell="L41" sqref="L41"/>
    </sheetView>
  </sheetViews>
  <sheetFormatPr defaultRowHeight="16.5"/>
  <cols>
    <col min="1" max="1" width="36.625" bestFit="1" customWidth="1"/>
    <col min="2" max="2" width="14.25" bestFit="1" customWidth="1"/>
    <col min="3" max="3" width="13.875" bestFit="1" customWidth="1"/>
    <col min="4" max="4" width="13.375" bestFit="1" customWidth="1"/>
    <col min="5" max="5" width="13.75" bestFit="1" customWidth="1"/>
    <col min="6" max="6" width="14.125" bestFit="1" customWidth="1"/>
    <col min="7" max="7" width="13.875" bestFit="1" customWidth="1"/>
    <col min="8" max="8" width="14.375" bestFit="1" customWidth="1"/>
    <col min="9" max="9" width="13.625" bestFit="1" customWidth="1"/>
    <col min="10" max="10" width="12.875" bestFit="1" customWidth="1"/>
    <col min="11" max="11" width="14.25" bestFit="1" customWidth="1"/>
    <col min="12" max="13" width="13.75" bestFit="1" customWidth="1"/>
    <col min="14" max="14" width="14.25" bestFit="1" customWidth="1"/>
    <col min="15" max="15" width="13.875" bestFit="1" customWidth="1"/>
    <col min="16" max="16" width="15.125" bestFit="1" customWidth="1"/>
    <col min="17" max="17" width="15.375" bestFit="1" customWidth="1"/>
    <col min="18" max="18" width="16.125" bestFit="1" customWidth="1"/>
    <col min="19" max="19" width="15.25" bestFit="1" customWidth="1"/>
    <col min="20" max="20" width="15.375" bestFit="1" customWidth="1"/>
    <col min="21" max="21" width="15.875" bestFit="1" customWidth="1"/>
    <col min="22" max="22" width="15.5" bestFit="1" customWidth="1"/>
  </cols>
  <sheetData>
    <row r="1" spans="1:22">
      <c r="B1" s="128" t="str">
        <f t="shared" ref="B1:V1" si="0">B9</f>
        <v>합계 : 25-Nov</v>
      </c>
      <c r="C1" s="128" t="str">
        <f t="shared" si="0"/>
        <v>합계 : 25-Dec</v>
      </c>
      <c r="D1" s="128" t="str">
        <f t="shared" si="0"/>
        <v>합계 : 26-Jan</v>
      </c>
      <c r="E1" s="128" t="str">
        <f t="shared" si="0"/>
        <v>합계 : 26-Feb</v>
      </c>
      <c r="F1" s="128" t="str">
        <f t="shared" si="0"/>
        <v>합계 : 26-Mar</v>
      </c>
      <c r="G1" s="128" t="str">
        <f t="shared" si="0"/>
        <v>합계 : 26-Apr</v>
      </c>
      <c r="H1" s="128" t="str">
        <f t="shared" si="0"/>
        <v>합계 : 26-May</v>
      </c>
      <c r="I1" s="128" t="str">
        <f t="shared" si="0"/>
        <v>합계 : 26-Jun</v>
      </c>
      <c r="J1" s="128" t="str">
        <f t="shared" si="0"/>
        <v>합계 : 26-Jul</v>
      </c>
      <c r="K1" s="128" t="str">
        <f t="shared" si="0"/>
        <v>합계 : 26-Aug</v>
      </c>
      <c r="L1" s="128" t="str">
        <f t="shared" si="0"/>
        <v>합계 : 26-Sep</v>
      </c>
      <c r="M1" s="128" t="str">
        <f t="shared" si="0"/>
        <v>합계 : 26-Oct</v>
      </c>
      <c r="N1" s="128" t="str">
        <f t="shared" si="0"/>
        <v>합계 : 26-Nov</v>
      </c>
      <c r="O1" s="128" t="str">
        <f t="shared" si="0"/>
        <v>합계 : 26-Dec</v>
      </c>
      <c r="P1" s="128" t="str">
        <f t="shared" si="0"/>
        <v>Sum of 27-Jan</v>
      </c>
      <c r="Q1" s="128" t="str">
        <f t="shared" si="0"/>
        <v>Sum of 27-Feb</v>
      </c>
      <c r="R1" s="128" t="str">
        <f t="shared" si="0"/>
        <v>Sum of 27-May</v>
      </c>
      <c r="S1" t="str">
        <f t="shared" si="0"/>
        <v>Sum of 27-Jun</v>
      </c>
      <c r="T1" t="str">
        <f t="shared" si="0"/>
        <v>Sum of 27-Oct</v>
      </c>
      <c r="U1" t="str">
        <f t="shared" si="0"/>
        <v>Sum of 27-Nov</v>
      </c>
      <c r="V1" t="str">
        <f t="shared" si="0"/>
        <v>Sum of 27-Dec</v>
      </c>
    </row>
    <row r="2" spans="1:22">
      <c r="A2" s="79" t="s">
        <v>135</v>
      </c>
      <c r="B2">
        <f>B3-B25</f>
        <v>46.9</v>
      </c>
      <c r="C2">
        <f t="shared" ref="C2:V2" si="1">C3-C25</f>
        <v>46.9</v>
      </c>
      <c r="D2">
        <f t="shared" si="1"/>
        <v>46.9</v>
      </c>
      <c r="E2">
        <f t="shared" si="1"/>
        <v>45.9</v>
      </c>
      <c r="F2">
        <f t="shared" si="1"/>
        <v>45.9</v>
      </c>
      <c r="G2">
        <f t="shared" si="1"/>
        <v>45.9</v>
      </c>
      <c r="H2">
        <f t="shared" si="1"/>
        <v>45.9</v>
      </c>
      <c r="I2">
        <f t="shared" si="1"/>
        <v>45.9</v>
      </c>
      <c r="J2">
        <f t="shared" si="1"/>
        <v>46.9</v>
      </c>
      <c r="K2">
        <f t="shared" si="1"/>
        <v>46.9</v>
      </c>
      <c r="L2">
        <f t="shared" si="1"/>
        <v>46.9</v>
      </c>
      <c r="M2">
        <f t="shared" si="1"/>
        <v>46.9</v>
      </c>
      <c r="N2">
        <f t="shared" si="1"/>
        <v>46.9</v>
      </c>
      <c r="O2">
        <f t="shared" si="1"/>
        <v>47.9</v>
      </c>
      <c r="P2">
        <f t="shared" si="1"/>
        <v>47.9</v>
      </c>
      <c r="Q2">
        <f t="shared" si="1"/>
        <v>47.9</v>
      </c>
      <c r="R2">
        <f t="shared" si="1"/>
        <v>48.9</v>
      </c>
      <c r="S2">
        <f t="shared" si="1"/>
        <v>48.9</v>
      </c>
      <c r="T2">
        <f t="shared" si="1"/>
        <v>48.9</v>
      </c>
      <c r="U2">
        <f t="shared" si="1"/>
        <v>48.9</v>
      </c>
      <c r="V2">
        <f t="shared" si="1"/>
        <v>48.9</v>
      </c>
    </row>
    <row r="3" spans="1:22">
      <c r="A3" s="105" t="s">
        <v>136</v>
      </c>
      <c r="B3">
        <f>P1_정원!B12</f>
        <v>46.9</v>
      </c>
      <c r="C3">
        <f>P1_정원!C12</f>
        <v>46.9</v>
      </c>
      <c r="D3">
        <f>P1_정원!D12</f>
        <v>46.9</v>
      </c>
      <c r="E3">
        <f>P1_정원!E12</f>
        <v>45.9</v>
      </c>
      <c r="F3">
        <f>P1_정원!F12</f>
        <v>45.9</v>
      </c>
      <c r="G3">
        <f>P1_정원!G12</f>
        <v>45.9</v>
      </c>
      <c r="H3">
        <f>P1_정원!H12</f>
        <v>45.9</v>
      </c>
      <c r="I3">
        <f>P1_정원!I12</f>
        <v>45.9</v>
      </c>
      <c r="J3">
        <f>P1_정원!J12</f>
        <v>46.9</v>
      </c>
      <c r="K3">
        <f>P1_정원!K12</f>
        <v>46.9</v>
      </c>
      <c r="L3">
        <f>P1_정원!L12</f>
        <v>46.9</v>
      </c>
      <c r="M3">
        <f>P1_정원!M12</f>
        <v>46.9</v>
      </c>
      <c r="N3">
        <f>P1_정원!N12</f>
        <v>46.9</v>
      </c>
      <c r="O3">
        <f>P1_정원!O12</f>
        <v>47.9</v>
      </c>
      <c r="P3">
        <f>P1_정원!P12</f>
        <v>47.9</v>
      </c>
      <c r="Q3">
        <f>P1_정원!Q12</f>
        <v>47.9</v>
      </c>
      <c r="R3">
        <f>P1_정원!R12</f>
        <v>48.9</v>
      </c>
      <c r="S3">
        <f>P1_정원!U12</f>
        <v>48.9</v>
      </c>
      <c r="T3">
        <f>P1_정원!V12</f>
        <v>48.9</v>
      </c>
      <c r="U3">
        <f>P1_정원!W12</f>
        <v>48.9</v>
      </c>
      <c r="V3">
        <f>P1_정원!X12</f>
        <v>48.9</v>
      </c>
    </row>
    <row r="4" spans="1:22">
      <c r="A4" s="105"/>
    </row>
    <row r="6" spans="1:22">
      <c r="A6" s="5" t="s">
        <v>57</v>
      </c>
      <c r="B6" t="s">
        <v>134</v>
      </c>
    </row>
    <row r="7" spans="1:22">
      <c r="A7" s="5" t="s">
        <v>62</v>
      </c>
      <c r="B7" t="s">
        <v>133</v>
      </c>
    </row>
    <row r="9" spans="1:22">
      <c r="A9" s="5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  <c r="P9" t="s">
        <v>107</v>
      </c>
      <c r="Q9" t="s">
        <v>108</v>
      </c>
      <c r="R9" t="s">
        <v>111</v>
      </c>
      <c r="S9" t="s">
        <v>112</v>
      </c>
      <c r="T9" t="s">
        <v>116</v>
      </c>
      <c r="U9" t="s">
        <v>117</v>
      </c>
      <c r="V9" t="s">
        <v>118</v>
      </c>
    </row>
    <row r="10" spans="1:22">
      <c r="A10" s="6" t="s">
        <v>137</v>
      </c>
      <c r="B10">
        <v>0.5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6" t="s">
        <v>138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6" t="s">
        <v>139</v>
      </c>
      <c r="B12">
        <v>5.2999999999999989</v>
      </c>
      <c r="C12">
        <v>4.8000000000000007</v>
      </c>
      <c r="D12">
        <v>1.5</v>
      </c>
      <c r="E12">
        <v>0.6</v>
      </c>
      <c r="F12">
        <v>0.6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6" t="s">
        <v>140</v>
      </c>
      <c r="B13">
        <v>5.0999999999999996</v>
      </c>
      <c r="C13">
        <v>4.3</v>
      </c>
      <c r="D13">
        <v>0.4</v>
      </c>
      <c r="E13">
        <v>0.4</v>
      </c>
      <c r="F13">
        <v>0.4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6" t="s">
        <v>141</v>
      </c>
      <c r="B14">
        <v>4.4000000000000004</v>
      </c>
      <c r="C14">
        <v>8.3999999999999986</v>
      </c>
      <c r="D14">
        <v>9.5</v>
      </c>
      <c r="E14">
        <v>9.9999999999999964</v>
      </c>
      <c r="F14">
        <v>9.9999999999999964</v>
      </c>
      <c r="G14">
        <v>9</v>
      </c>
      <c r="H14">
        <v>9</v>
      </c>
      <c r="I14">
        <v>9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6" t="s">
        <v>142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</row>
    <row r="16" spans="1:22">
      <c r="A16" s="6" t="s">
        <v>143</v>
      </c>
      <c r="B16">
        <v>12.099999999999998</v>
      </c>
      <c r="C16">
        <v>12.099999999999998</v>
      </c>
      <c r="D16">
        <v>8.4</v>
      </c>
      <c r="E16">
        <v>8.4</v>
      </c>
      <c r="F16">
        <v>7.8999999999999995</v>
      </c>
      <c r="G16">
        <v>7.3</v>
      </c>
      <c r="H16">
        <v>6.8</v>
      </c>
      <c r="I16">
        <v>6.7</v>
      </c>
      <c r="J16">
        <v>6.7</v>
      </c>
      <c r="K16">
        <v>6.7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6" t="s">
        <v>144</v>
      </c>
      <c r="B17">
        <v>9.6</v>
      </c>
      <c r="C17">
        <v>9.6</v>
      </c>
      <c r="D17">
        <v>12.399999999999999</v>
      </c>
      <c r="E17">
        <v>12.399999999999999</v>
      </c>
      <c r="F17">
        <v>12.6</v>
      </c>
      <c r="G17">
        <v>13.2</v>
      </c>
      <c r="H17">
        <v>13.2</v>
      </c>
      <c r="I17">
        <v>13.2</v>
      </c>
      <c r="J17">
        <v>14.2</v>
      </c>
      <c r="K17">
        <v>15.999999999999998</v>
      </c>
      <c r="L17">
        <v>15.999999999999998</v>
      </c>
      <c r="M17">
        <v>15.999999999999998</v>
      </c>
      <c r="N17">
        <v>15.999999999999998</v>
      </c>
      <c r="O17">
        <v>15.999999999999998</v>
      </c>
      <c r="P17">
        <v>16.399999999999999</v>
      </c>
      <c r="Q17">
        <v>16.399999999999999</v>
      </c>
      <c r="R17">
        <v>15.599999999999998</v>
      </c>
      <c r="S17">
        <v>15.599999999999998</v>
      </c>
      <c r="T17">
        <v>0</v>
      </c>
      <c r="U17">
        <v>0</v>
      </c>
      <c r="V17">
        <v>0</v>
      </c>
    </row>
    <row r="18" spans="1:22">
      <c r="A18" s="6" t="s">
        <v>145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</row>
    <row r="19" spans="1:22">
      <c r="A19" s="6" t="s">
        <v>146</v>
      </c>
      <c r="B19">
        <v>5.2</v>
      </c>
      <c r="C19">
        <v>2.8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6" t="s">
        <v>147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6" t="s">
        <v>148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5.8</v>
      </c>
      <c r="K21">
        <v>6.8</v>
      </c>
      <c r="L21">
        <v>9.1999999999999993</v>
      </c>
      <c r="M21">
        <v>13.199999999999998</v>
      </c>
      <c r="N21">
        <v>13.199999999999998</v>
      </c>
      <c r="O21">
        <v>13.199999999999998</v>
      </c>
      <c r="P21">
        <v>13.199999999999998</v>
      </c>
      <c r="Q21">
        <v>14.199999999999998</v>
      </c>
      <c r="R21">
        <v>14.199999999999998</v>
      </c>
      <c r="S21">
        <v>14.199999999999998</v>
      </c>
      <c r="T21">
        <v>10.999999999999998</v>
      </c>
      <c r="U21">
        <v>10.999999999999998</v>
      </c>
      <c r="V21">
        <v>10.999999999999998</v>
      </c>
    </row>
    <row r="22" spans="1:22">
      <c r="A22" s="6" t="s">
        <v>149</v>
      </c>
      <c r="B22">
        <v>0</v>
      </c>
      <c r="C22">
        <v>2.2000000000000002</v>
      </c>
      <c r="D22">
        <v>12.199999999999998</v>
      </c>
      <c r="E22">
        <v>11.699999999999998</v>
      </c>
      <c r="F22">
        <v>11.699999999999998</v>
      </c>
      <c r="G22">
        <v>12.699999999999998</v>
      </c>
      <c r="H22">
        <v>12.699999999999998</v>
      </c>
      <c r="I22">
        <v>12.699999999999998</v>
      </c>
      <c r="J22">
        <v>12.699999999999998</v>
      </c>
      <c r="K22">
        <v>13.699999999999998</v>
      </c>
      <c r="L22">
        <v>13.699999999999998</v>
      </c>
      <c r="M22">
        <v>13.699999999999998</v>
      </c>
      <c r="N22">
        <v>13.699999999999998</v>
      </c>
      <c r="O22">
        <v>13.699999999999998</v>
      </c>
      <c r="P22">
        <v>13.2</v>
      </c>
      <c r="Q22">
        <v>13.2</v>
      </c>
      <c r="R22">
        <v>13.2</v>
      </c>
      <c r="S22">
        <v>13.2</v>
      </c>
      <c r="T22">
        <v>10.7</v>
      </c>
      <c r="U22">
        <v>0</v>
      </c>
      <c r="V22">
        <v>0</v>
      </c>
    </row>
    <row r="23" spans="1:22">
      <c r="A23" s="6" t="s">
        <v>123</v>
      </c>
      <c r="B23">
        <v>48.699999999999996</v>
      </c>
      <c r="C23">
        <v>50.699999999999996</v>
      </c>
      <c r="D23">
        <v>50.9</v>
      </c>
      <c r="E23">
        <v>49.999999999999993</v>
      </c>
      <c r="F23">
        <v>49.699999999999989</v>
      </c>
      <c r="G23">
        <v>48.699999999999996</v>
      </c>
      <c r="H23">
        <v>48.199999999999996</v>
      </c>
      <c r="I23">
        <v>47.4</v>
      </c>
      <c r="J23">
        <v>54.199999999999989</v>
      </c>
      <c r="K23">
        <v>48.999999999999993</v>
      </c>
      <c r="L23">
        <v>44.699999999999996</v>
      </c>
      <c r="M23">
        <v>48.699999999999996</v>
      </c>
      <c r="N23">
        <v>48.699999999999996</v>
      </c>
      <c r="O23">
        <v>48.699999999999996</v>
      </c>
      <c r="P23">
        <v>45.599999999999994</v>
      </c>
      <c r="Q23">
        <v>46.599999999999994</v>
      </c>
      <c r="R23">
        <v>45.8</v>
      </c>
      <c r="S23">
        <v>45.8</v>
      </c>
      <c r="T23">
        <v>24.499999999999996</v>
      </c>
      <c r="U23">
        <v>13.799999999999997</v>
      </c>
      <c r="V23">
        <v>13.799999999999997</v>
      </c>
    </row>
    <row r="24" spans="1:22" s="102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</sheetData>
  <phoneticPr fontId="1" type="noConversion"/>
  <conditionalFormatting sqref="A3:T4 U3:V3">
    <cfRule type="colorScale" priority="8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B2:V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5ECC-82C7-4E6C-9AAE-D3409C815BD6}">
  <sheetPr>
    <tabColor theme="7" tint="0.79998168889431442"/>
  </sheetPr>
  <dimension ref="A1:AA55"/>
  <sheetViews>
    <sheetView zoomScale="70" zoomScaleNormal="70" workbookViewId="0">
      <pane ySplit="1" topLeftCell="A11" activePane="bottomLeft" state="frozen"/>
      <selection pane="bottomLeft" activeCell="C34" sqref="C34"/>
    </sheetView>
  </sheetViews>
  <sheetFormatPr defaultRowHeight="16.5"/>
  <cols>
    <col min="1" max="1" width="36.5" bestFit="1" customWidth="1"/>
    <col min="2" max="2" width="14.125" bestFit="1" customWidth="1"/>
    <col min="3" max="3" width="13.875" bestFit="1" customWidth="1"/>
    <col min="4" max="4" width="13.375" bestFit="1" customWidth="1"/>
    <col min="5" max="5" width="13.625" bestFit="1" customWidth="1"/>
    <col min="6" max="6" width="14.125" bestFit="1" customWidth="1"/>
    <col min="7" max="7" width="13.875" bestFit="1" customWidth="1"/>
    <col min="8" max="8" width="14.375" bestFit="1" customWidth="1"/>
    <col min="9" max="9" width="13.625" bestFit="1" customWidth="1"/>
    <col min="10" max="10" width="12.875" bestFit="1" customWidth="1"/>
    <col min="11" max="12" width="14.125" bestFit="1" customWidth="1"/>
    <col min="13" max="13" width="13.875" bestFit="1" customWidth="1"/>
    <col min="14" max="14" width="15.125" bestFit="1" customWidth="1"/>
    <col min="15" max="15" width="15.375" bestFit="1" customWidth="1"/>
    <col min="16" max="16" width="16.125" bestFit="1" customWidth="1"/>
    <col min="17" max="17" width="15.125" bestFit="1" customWidth="1"/>
    <col min="18" max="18" width="15.375" bestFit="1" customWidth="1"/>
    <col min="19" max="19" width="15.875" bestFit="1" customWidth="1"/>
    <col min="20" max="20" width="15.5" bestFit="1" customWidth="1"/>
    <col min="21" max="21" width="15.125" bestFit="1" customWidth="1"/>
    <col min="22" max="22" width="12.875" bestFit="1" customWidth="1"/>
    <col min="23" max="23" width="14.125" bestFit="1" customWidth="1"/>
    <col min="24" max="24" width="13.625" bestFit="1" customWidth="1"/>
    <col min="25" max="25" width="15.375" bestFit="1" customWidth="1"/>
    <col min="26" max="26" width="15.875" bestFit="1" customWidth="1"/>
    <col min="27" max="27" width="15.5" bestFit="1" customWidth="1"/>
  </cols>
  <sheetData>
    <row r="1" spans="1:27">
      <c r="A1" s="79" t="s">
        <v>135</v>
      </c>
      <c r="B1" t="str">
        <f>B20</f>
        <v>합계 : 25-Nov</v>
      </c>
      <c r="C1" t="str">
        <f>C20</f>
        <v>합계 : 25-Dec</v>
      </c>
      <c r="D1" t="str">
        <f>D20</f>
        <v>합계 : 26-Jan</v>
      </c>
      <c r="E1" t="str">
        <f>E20</f>
        <v>합계 : 26-Feb</v>
      </c>
      <c r="F1" t="str">
        <f>F20</f>
        <v>합계 : 26-Mar</v>
      </c>
      <c r="G1" t="str">
        <f t="shared" ref="G1:S1" si="0">G20</f>
        <v>합계 : 26-Apr</v>
      </c>
      <c r="H1" t="str">
        <f t="shared" si="0"/>
        <v>합계 : 26-May</v>
      </c>
      <c r="I1" t="str">
        <f t="shared" si="0"/>
        <v>합계 : 26-Jun</v>
      </c>
      <c r="J1" t="str">
        <f t="shared" si="0"/>
        <v>합계 : 26-Jul</v>
      </c>
      <c r="K1" t="str">
        <f t="shared" si="0"/>
        <v>합계 : 26-Aug</v>
      </c>
      <c r="L1" t="str">
        <f t="shared" si="0"/>
        <v>Sum of 26-Sep</v>
      </c>
      <c r="M1" t="str">
        <f t="shared" si="0"/>
        <v>Sum of 26-Oct</v>
      </c>
      <c r="N1" t="str">
        <f t="shared" si="0"/>
        <v>합계 : 26-Nov</v>
      </c>
      <c r="O1" t="str">
        <f t="shared" si="0"/>
        <v>합계 : 26-Dec</v>
      </c>
      <c r="P1" t="str">
        <f t="shared" si="0"/>
        <v>Sum of 27-Jan</v>
      </c>
      <c r="Q1" t="str">
        <f t="shared" si="0"/>
        <v>Sum of 27-Feb</v>
      </c>
      <c r="R1" t="str">
        <f t="shared" si="0"/>
        <v>합계 : 27-Mar</v>
      </c>
      <c r="S1" t="str">
        <f t="shared" si="0"/>
        <v>합계 : 27-Apr</v>
      </c>
      <c r="T1" t="str">
        <f t="shared" ref="T1:AA1" si="1">T20</f>
        <v>Sum of 27-May</v>
      </c>
      <c r="U1" t="str">
        <f t="shared" si="1"/>
        <v>Sum of 27-Jun</v>
      </c>
      <c r="V1" t="str">
        <f t="shared" si="1"/>
        <v>합계 : 27-Jul</v>
      </c>
      <c r="W1" t="str">
        <f t="shared" si="1"/>
        <v>합계 : 27-Aug</v>
      </c>
      <c r="X1" t="str">
        <f t="shared" si="1"/>
        <v>합계 : 27-Sep</v>
      </c>
      <c r="Y1" t="str">
        <f t="shared" si="1"/>
        <v>Sum of 27-Oct</v>
      </c>
      <c r="Z1" t="str">
        <f t="shared" si="1"/>
        <v>Sum of 27-Nov</v>
      </c>
      <c r="AA1" t="str">
        <f t="shared" si="1"/>
        <v>Sum of 27-Dec</v>
      </c>
    </row>
    <row r="2" spans="1:27">
      <c r="A2" s="146" t="str">
        <f>A21</f>
        <v>Electrical engineer</v>
      </c>
      <c r="B2">
        <f>P1_정원!B23-B21</f>
        <v>0</v>
      </c>
      <c r="C2">
        <f>P1_정원!C23-C21</f>
        <v>-0.5</v>
      </c>
      <c r="D2">
        <f>P1_정원!D23-D21</f>
        <v>-0.29999999999999982</v>
      </c>
      <c r="E2">
        <f>P1_정원!E23-E21</f>
        <v>-9.9999999999999645E-2</v>
      </c>
      <c r="F2">
        <f>P1_정원!F23-F21</f>
        <v>-9.9999999999999645E-2</v>
      </c>
      <c r="G2">
        <f>P1_정원!G23-G21</f>
        <v>0</v>
      </c>
      <c r="H2">
        <f>P1_정원!H23-H21</f>
        <v>0</v>
      </c>
      <c r="I2">
        <f>P1_정원!I23-I21</f>
        <v>0</v>
      </c>
      <c r="J2">
        <f>P1_정원!J23-J21</f>
        <v>0</v>
      </c>
      <c r="K2">
        <f>P1_정원!K23-K21</f>
        <v>1</v>
      </c>
      <c r="L2">
        <f>P1_정원!L23-L21</f>
        <v>0</v>
      </c>
      <c r="M2">
        <f>P1_정원!M23-M21</f>
        <v>0</v>
      </c>
      <c r="N2">
        <f>P1_정원!N23-N21</f>
        <v>0</v>
      </c>
      <c r="O2">
        <f>P1_정원!O23-O21</f>
        <v>0</v>
      </c>
      <c r="P2">
        <f>P1_정원!P23-P21</f>
        <v>0</v>
      </c>
      <c r="Q2">
        <f>P1_정원!Q23-Q21</f>
        <v>0</v>
      </c>
      <c r="R2">
        <f>P1_정원!R23-R21</f>
        <v>0</v>
      </c>
      <c r="S2">
        <f>P1_정원!S23-S21</f>
        <v>0</v>
      </c>
      <c r="T2">
        <f>P1_정원!T23-T21</f>
        <v>0</v>
      </c>
      <c r="U2">
        <f>P1_정원!U23-U21</f>
        <v>0</v>
      </c>
      <c r="V2">
        <f>P1_정원!V23-V21</f>
        <v>0.5</v>
      </c>
      <c r="W2">
        <f>P1_정원!W23-W21</f>
        <v>0.5</v>
      </c>
      <c r="X2">
        <f>P1_정원!X23-X21</f>
        <v>1</v>
      </c>
      <c r="Y2">
        <f>P1_정원!Y23-Y21</f>
        <v>3</v>
      </c>
      <c r="Z2">
        <f>P1_정원!Z23-Z21</f>
        <v>3.5</v>
      </c>
      <c r="AA2">
        <f>P1_정원!AA23-AA21</f>
        <v>3.5</v>
      </c>
    </row>
    <row r="3" spans="1:27">
      <c r="A3" s="146" t="str">
        <f t="shared" ref="A3:A11" si="2">A22</f>
        <v>Mechanical engineer</v>
      </c>
      <c r="B3">
        <f>P1_정원!B24-B22</f>
        <v>1</v>
      </c>
      <c r="C3">
        <f>P1_정원!C24-C22</f>
        <v>-0.5</v>
      </c>
      <c r="D3">
        <f>P1_정원!D24-D22</f>
        <v>1</v>
      </c>
      <c r="E3">
        <f>P1_정원!E24-E22</f>
        <v>0</v>
      </c>
      <c r="F3">
        <f>P1_정원!F24-F22</f>
        <v>0</v>
      </c>
      <c r="G3">
        <f>P1_정원!G24-G22</f>
        <v>0</v>
      </c>
      <c r="H3">
        <f>P1_정원!H24-H22</f>
        <v>0</v>
      </c>
      <c r="I3">
        <f>P1_정원!I24-I22</f>
        <v>0</v>
      </c>
      <c r="J3">
        <f>P1_정원!J24-J22</f>
        <v>-1</v>
      </c>
      <c r="K3">
        <f>P1_정원!K24-K22</f>
        <v>-0.5</v>
      </c>
      <c r="L3">
        <f>P1_정원!L24-L22</f>
        <v>0</v>
      </c>
      <c r="M3">
        <f>P1_정원!M24-M22</f>
        <v>-2</v>
      </c>
      <c r="N3">
        <f>P1_정원!N24-N22</f>
        <v>-2</v>
      </c>
      <c r="O3">
        <f>P1_정원!O24-O22</f>
        <v>-2</v>
      </c>
      <c r="P3">
        <f>P1_정원!P24-P22</f>
        <v>-2</v>
      </c>
      <c r="Q3">
        <f>P1_정원!Q24-Q22</f>
        <v>-2</v>
      </c>
      <c r="R3">
        <f>P1_정원!R24-R22</f>
        <v>-2</v>
      </c>
      <c r="S3">
        <f>P1_정원!S24-S22</f>
        <v>-2</v>
      </c>
      <c r="T3">
        <f>P1_정원!T24-T22</f>
        <v>-2</v>
      </c>
      <c r="U3">
        <f>P1_정원!U24-U22</f>
        <v>-2</v>
      </c>
      <c r="V3">
        <f>P1_정원!V24-V22</f>
        <v>-1.5</v>
      </c>
      <c r="W3">
        <f>P1_정원!W24-W22</f>
        <v>-1.5</v>
      </c>
      <c r="X3">
        <f>P1_정원!X24-X22</f>
        <v>-0.5</v>
      </c>
      <c r="Y3">
        <f>P1_정원!Y24-Y22</f>
        <v>2.5</v>
      </c>
      <c r="Z3">
        <f>P1_정원!Z24-Z22</f>
        <v>5</v>
      </c>
      <c r="AA3">
        <f>P1_정원!AA24-AA22</f>
        <v>5</v>
      </c>
    </row>
    <row r="4" spans="1:27">
      <c r="A4" s="146" t="str">
        <f t="shared" si="2"/>
        <v>PM</v>
      </c>
      <c r="B4">
        <f>P1_정원!B25-B23</f>
        <v>-0.20000000000000018</v>
      </c>
      <c r="C4">
        <f>P1_정원!C25-C23</f>
        <v>-0.10000000000000009</v>
      </c>
      <c r="D4">
        <f>P1_정원!D25-D23</f>
        <v>-0.70000000000000018</v>
      </c>
      <c r="E4">
        <f>P1_정원!E25-E23</f>
        <v>-0.60000000000000009</v>
      </c>
      <c r="F4">
        <f>P1_정원!F25-F23</f>
        <v>-0.60000000000000009</v>
      </c>
      <c r="G4">
        <f>P1_정원!G25-G23</f>
        <v>-0.39999999999999991</v>
      </c>
      <c r="H4">
        <f>P1_정원!H25-H23</f>
        <v>-0.39999999999999991</v>
      </c>
      <c r="I4">
        <f>P1_정원!I25-I23</f>
        <v>-0.39999999999999991</v>
      </c>
      <c r="J4">
        <f>P1_정원!J25-J23</f>
        <v>-0.89999999999999991</v>
      </c>
      <c r="K4">
        <f>P1_정원!K25-K23</f>
        <v>-0.5</v>
      </c>
      <c r="L4">
        <f>P1_정원!L25-L23</f>
        <v>0</v>
      </c>
      <c r="M4">
        <f>P1_정원!M25-M23</f>
        <v>0</v>
      </c>
      <c r="N4">
        <f>P1_정원!N25-N23</f>
        <v>0</v>
      </c>
      <c r="O4">
        <f>P1_정원!O25-O23</f>
        <v>0</v>
      </c>
      <c r="P4">
        <f>P1_정원!P25-P23</f>
        <v>0</v>
      </c>
      <c r="Q4">
        <f>P1_정원!Q25-Q23</f>
        <v>0</v>
      </c>
      <c r="R4">
        <f>P1_정원!R25-R23</f>
        <v>0</v>
      </c>
      <c r="S4">
        <f>P1_정원!S25-S23</f>
        <v>0</v>
      </c>
      <c r="T4">
        <f>P1_정원!T25-T23</f>
        <v>0.5</v>
      </c>
      <c r="U4">
        <f>P1_정원!U25-U23</f>
        <v>0.5</v>
      </c>
      <c r="V4">
        <f>P1_정원!V25-V23</f>
        <v>1</v>
      </c>
      <c r="W4">
        <f>P1_정원!W25-W23</f>
        <v>1</v>
      </c>
      <c r="X4">
        <f>P1_정원!X25-X23</f>
        <v>1</v>
      </c>
      <c r="Y4">
        <f>P1_정원!Y25-Y23</f>
        <v>2</v>
      </c>
      <c r="Z4">
        <f>P1_정원!Z25-Z23</f>
        <v>2.5</v>
      </c>
      <c r="AA4">
        <f>P1_정원!AA25-AA23</f>
        <v>2.5</v>
      </c>
    </row>
    <row r="5" spans="1:27">
      <c r="A5" s="146" t="str">
        <f t="shared" si="2"/>
        <v>Service engineer</v>
      </c>
      <c r="B5">
        <f>P1_정원!B26-B24</f>
        <v>0.30000000000000027</v>
      </c>
      <c r="C5">
        <f>P1_정원!C26-C24</f>
        <v>0</v>
      </c>
      <c r="D5">
        <f>P1_정원!D26-D24</f>
        <v>-0.5</v>
      </c>
      <c r="E5">
        <f>P1_정원!E26-E24</f>
        <v>-0.20000000000000018</v>
      </c>
      <c r="F5">
        <f>P1_정원!F26-F24</f>
        <v>-0.20000000000000018</v>
      </c>
      <c r="G5">
        <f>P1_정원!G26-G24</f>
        <v>0</v>
      </c>
      <c r="H5">
        <f>P1_정원!H26-H24</f>
        <v>0</v>
      </c>
      <c r="I5">
        <f>P1_정원!I26-I24</f>
        <v>0</v>
      </c>
      <c r="J5">
        <f>P1_정원!J26-J24</f>
        <v>0</v>
      </c>
      <c r="K5">
        <f>P1_정원!K26-K24</f>
        <v>-0.59999999999999964</v>
      </c>
      <c r="L5">
        <f>P1_정원!L26-L24</f>
        <v>0</v>
      </c>
      <c r="M5">
        <f>P1_정원!M26-M24</f>
        <v>-1</v>
      </c>
      <c r="N5">
        <f>P1_정원!N26-N24</f>
        <v>-1</v>
      </c>
      <c r="O5">
        <f>P1_정원!O26-O24</f>
        <v>-1</v>
      </c>
      <c r="P5">
        <f>P1_정원!P26-P24</f>
        <v>0</v>
      </c>
      <c r="Q5">
        <f>P1_정원!Q26-Q24</f>
        <v>0</v>
      </c>
      <c r="R5">
        <f>P1_정원!R26-R24</f>
        <v>0</v>
      </c>
      <c r="S5">
        <f>P1_정원!S26-S24</f>
        <v>0</v>
      </c>
      <c r="T5">
        <f>P1_정원!T26-T24</f>
        <v>0</v>
      </c>
      <c r="U5">
        <f>P1_정원!U26-U24</f>
        <v>0</v>
      </c>
      <c r="V5">
        <f>P1_정원!V26-V24</f>
        <v>0</v>
      </c>
      <c r="W5">
        <f>P1_정원!W26-W24</f>
        <v>0</v>
      </c>
      <c r="X5">
        <f>P1_정원!X26-X24</f>
        <v>1</v>
      </c>
      <c r="Y5">
        <f>P1_정원!Y26-Y24</f>
        <v>2</v>
      </c>
      <c r="Z5">
        <f>P1_정원!Z26-Z24</f>
        <v>4</v>
      </c>
      <c r="AA5">
        <f>P1_정원!AA26-AA24</f>
        <v>4</v>
      </c>
    </row>
    <row r="6" spans="1:27">
      <c r="A6" s="146" t="str">
        <f t="shared" si="2"/>
        <v>Software engineer</v>
      </c>
      <c r="B6">
        <f>P1_정원!B27-B25</f>
        <v>-2.2000000000000002</v>
      </c>
      <c r="C6">
        <f>P1_정원!C27-C25</f>
        <v>-1.7000000000000002</v>
      </c>
      <c r="D6">
        <f>P1_정원!D27-D25</f>
        <v>-2.7</v>
      </c>
      <c r="E6">
        <f>P1_정원!E27-E25</f>
        <v>-2.7</v>
      </c>
      <c r="F6">
        <f>P1_정원!F27-F25</f>
        <v>-2.7</v>
      </c>
      <c r="G6">
        <f>P1_정원!G27-G25</f>
        <v>-2.2000000000000002</v>
      </c>
      <c r="H6">
        <f>P1_정원!H27-H25</f>
        <v>-2.2000000000000002</v>
      </c>
      <c r="I6">
        <f>P1_정원!I27-I25</f>
        <v>-1.7000000000000002</v>
      </c>
      <c r="J6">
        <f>P1_정원!J27-J25</f>
        <v>-2.7</v>
      </c>
      <c r="K6">
        <f>P1_정원!K27-K25</f>
        <v>-3.5</v>
      </c>
      <c r="L6">
        <f>P1_정원!L27-L25</f>
        <v>-3.5</v>
      </c>
      <c r="M6">
        <f>P1_정원!M27-M25</f>
        <v>-3.5</v>
      </c>
      <c r="N6">
        <f>P1_정원!N27-N25</f>
        <v>-3.5</v>
      </c>
      <c r="O6">
        <f>P1_정원!O27-O25</f>
        <v>-3.5</v>
      </c>
      <c r="P6">
        <f>P1_정원!P27-P25</f>
        <v>-3.5</v>
      </c>
      <c r="Q6">
        <f>P1_정원!Q27-Q25</f>
        <v>-3.5</v>
      </c>
      <c r="R6">
        <f>P1_정원!R27-R25</f>
        <v>-2.5</v>
      </c>
      <c r="S6">
        <f>P1_정원!S27-S25</f>
        <v>-2.5</v>
      </c>
      <c r="T6">
        <f>P1_정원!T27-T25</f>
        <v>-2.5</v>
      </c>
      <c r="U6">
        <f>P1_정원!U27-U25</f>
        <v>-2.5</v>
      </c>
      <c r="V6">
        <f>P1_정원!V27-V25</f>
        <v>-2.5</v>
      </c>
      <c r="W6">
        <f>P1_정원!W27-W25</f>
        <v>-2.5</v>
      </c>
      <c r="X6">
        <f>P1_정원!X27-X25</f>
        <v>-2.5</v>
      </c>
      <c r="Y6">
        <f>P1_정원!Y27-Y25</f>
        <v>0.5</v>
      </c>
      <c r="Z6">
        <f>P1_정원!Z27-Z25</f>
        <v>2.5</v>
      </c>
      <c r="AA6">
        <f>P1_정원!AA27-AA25</f>
        <v>2.5</v>
      </c>
    </row>
    <row r="7" spans="1:27">
      <c r="A7" s="146" t="str">
        <f t="shared" si="2"/>
        <v>SW test engineer</v>
      </c>
      <c r="B7">
        <f>P1_정원!B28-B26</f>
        <v>-1</v>
      </c>
      <c r="C7">
        <f>P1_정원!C28-C26</f>
        <v>-0.5</v>
      </c>
      <c r="D7">
        <f>P1_정원!D28-D26</f>
        <v>-1</v>
      </c>
      <c r="E7">
        <f>P1_정원!E28-E26</f>
        <v>-1</v>
      </c>
      <c r="F7">
        <f>P1_정원!F28-F26</f>
        <v>-1</v>
      </c>
      <c r="G7">
        <f>P1_정원!G28-G26</f>
        <v>-2</v>
      </c>
      <c r="H7">
        <f>P1_정원!H28-H26</f>
        <v>-1.5</v>
      </c>
      <c r="I7">
        <f>P1_정원!I28-I26</f>
        <v>-1.5</v>
      </c>
      <c r="J7">
        <f>P1_정원!J28-J26</f>
        <v>-1.5</v>
      </c>
      <c r="K7">
        <f>P1_정원!K28-K26</f>
        <v>-1</v>
      </c>
      <c r="L7">
        <f>P1_정원!L28-L26</f>
        <v>0</v>
      </c>
      <c r="M7">
        <f>P1_정원!M28-M26</f>
        <v>0</v>
      </c>
      <c r="N7">
        <f>P1_정원!N28-N26</f>
        <v>0</v>
      </c>
      <c r="O7">
        <f>P1_정원!O28-O26</f>
        <v>0</v>
      </c>
      <c r="P7">
        <f>P1_정원!P28-P26</f>
        <v>0</v>
      </c>
      <c r="Q7">
        <f>P1_정원!Q28-Q26</f>
        <v>-1</v>
      </c>
      <c r="R7">
        <f>P1_정원!R28-R26</f>
        <v>-1</v>
      </c>
      <c r="S7">
        <f>P1_정원!S28-S26</f>
        <v>-1</v>
      </c>
      <c r="T7">
        <f>P1_정원!T28-T26</f>
        <v>-1</v>
      </c>
      <c r="U7">
        <f>P1_정원!U28-U26</f>
        <v>-1</v>
      </c>
      <c r="V7">
        <f>P1_정원!V28-V26</f>
        <v>-1</v>
      </c>
      <c r="W7">
        <f>P1_정원!W28-W26</f>
        <v>-1</v>
      </c>
      <c r="X7">
        <f>P1_정원!X28-X26</f>
        <v>-1</v>
      </c>
      <c r="Y7">
        <f>P1_정원!Y28-Y26</f>
        <v>0.5</v>
      </c>
      <c r="Z7">
        <f>P1_정원!Z28-Z26</f>
        <v>1</v>
      </c>
      <c r="AA7">
        <f>P1_정원!AA28-AA26</f>
        <v>1</v>
      </c>
    </row>
    <row r="8" spans="1:27">
      <c r="A8" s="146" t="str">
        <f t="shared" si="2"/>
        <v>System engineer</v>
      </c>
      <c r="B8">
        <f>P1_정원!B29-B27</f>
        <v>0</v>
      </c>
      <c r="C8">
        <f>P1_정원!C29-C27</f>
        <v>0</v>
      </c>
      <c r="D8">
        <f>P1_정원!D29-D27</f>
        <v>0</v>
      </c>
      <c r="E8">
        <f>P1_정원!E29-E27</f>
        <v>0</v>
      </c>
      <c r="F8">
        <f>P1_정원!F29-F27</f>
        <v>0</v>
      </c>
      <c r="G8">
        <f>P1_정원!G29-G27</f>
        <v>0</v>
      </c>
      <c r="H8">
        <f>P1_정원!H29-H27</f>
        <v>0</v>
      </c>
      <c r="I8">
        <f>P1_정원!I29-I27</f>
        <v>0</v>
      </c>
      <c r="J8">
        <f>P1_정원!J29-J27</f>
        <v>-2</v>
      </c>
      <c r="K8">
        <f>P1_정원!K29-K27</f>
        <v>0.30000000000000071</v>
      </c>
      <c r="L8">
        <f>P1_정원!L29-L27</f>
        <v>2</v>
      </c>
      <c r="M8">
        <f>P1_정원!M29-M27</f>
        <v>1</v>
      </c>
      <c r="N8">
        <f>P1_정원!N29-N27</f>
        <v>1</v>
      </c>
      <c r="O8">
        <f>P1_정원!O29-O27</f>
        <v>2</v>
      </c>
      <c r="P8">
        <f>P1_정원!P29-P27</f>
        <v>3</v>
      </c>
      <c r="Q8">
        <f>P1_정원!Q29-Q27</f>
        <v>3</v>
      </c>
      <c r="R8">
        <f>P1_정원!R29-R27</f>
        <v>3</v>
      </c>
      <c r="S8">
        <f>P1_정원!S29-S27</f>
        <v>3</v>
      </c>
      <c r="T8">
        <f>P1_정원!T29-T27</f>
        <v>3</v>
      </c>
      <c r="U8">
        <f>P1_정원!U29-U27</f>
        <v>3</v>
      </c>
      <c r="V8">
        <f>P1_정원!V29-V27</f>
        <v>3.5</v>
      </c>
      <c r="W8">
        <f>P1_정원!W29-W27</f>
        <v>3.5</v>
      </c>
      <c r="X8">
        <f>P1_정원!X29-X27</f>
        <v>3.5</v>
      </c>
      <c r="Y8">
        <f>P1_정원!Y29-Y27</f>
        <v>5.5</v>
      </c>
      <c r="Z8">
        <f>P1_정원!Z29-Z27</f>
        <v>7</v>
      </c>
      <c r="AA8">
        <f>P1_정원!AA29-AA27</f>
        <v>7</v>
      </c>
    </row>
    <row r="9" spans="1:27">
      <c r="A9" s="146" t="str">
        <f t="shared" si="2"/>
        <v>Tech Lead</v>
      </c>
      <c r="B9">
        <f>P1_정원!B30-B28</f>
        <v>0.30000000000000071</v>
      </c>
      <c r="C9">
        <f>P1_정원!C30-C28</f>
        <v>0</v>
      </c>
      <c r="D9">
        <f>P1_정원!D30-D28</f>
        <v>0.50000000000000089</v>
      </c>
      <c r="E9">
        <f>P1_정원!E30-E28</f>
        <v>0.80000000000000071</v>
      </c>
      <c r="F9">
        <f>P1_정원!F30-F28</f>
        <v>0.79999999999999982</v>
      </c>
      <c r="G9">
        <f>P1_정원!G30-G28</f>
        <v>1</v>
      </c>
      <c r="H9">
        <f>P1_정원!H30-H28</f>
        <v>1</v>
      </c>
      <c r="I9">
        <f>P1_정원!I30-I28</f>
        <v>1</v>
      </c>
      <c r="J9">
        <f>P1_정원!J30-J28</f>
        <v>1</v>
      </c>
      <c r="K9">
        <f>P1_정원!K30-K28</f>
        <v>2</v>
      </c>
      <c r="L9">
        <f>P1_정원!L30-L28</f>
        <v>2.5</v>
      </c>
      <c r="M9">
        <f>P1_정원!M30-M28</f>
        <v>2.5</v>
      </c>
      <c r="N9">
        <f>P1_정원!N30-N28</f>
        <v>2.5</v>
      </c>
      <c r="O9">
        <f>P1_정원!O30-O28</f>
        <v>2.5</v>
      </c>
      <c r="P9">
        <f>P1_정원!P30-P28</f>
        <v>3.5</v>
      </c>
      <c r="Q9">
        <f>P1_정원!Q30-Q28</f>
        <v>3.5</v>
      </c>
      <c r="R9">
        <f>P1_정원!R30-R28</f>
        <v>3.5</v>
      </c>
      <c r="S9">
        <f>P1_정원!S30-S28</f>
        <v>3.5</v>
      </c>
      <c r="T9">
        <f>P1_정원!T30-T28</f>
        <v>3.5</v>
      </c>
      <c r="U9">
        <f>P1_정원!U30-U28</f>
        <v>3.5</v>
      </c>
      <c r="V9">
        <f>P1_정원!V30-V28</f>
        <v>4</v>
      </c>
      <c r="W9">
        <f>P1_정원!W30-W28</f>
        <v>4</v>
      </c>
      <c r="X9">
        <f>P1_정원!X30-X28</f>
        <v>4</v>
      </c>
      <c r="Y9">
        <f>P1_정원!Y30-Y28</f>
        <v>5.5</v>
      </c>
      <c r="Z9">
        <f>P1_정원!Z30-Z28</f>
        <v>6</v>
      </c>
      <c r="AA9">
        <f>P1_정원!AA30-AA28</f>
        <v>6</v>
      </c>
    </row>
    <row r="10" spans="1:27">
      <c r="A10" s="146" t="str">
        <f t="shared" si="2"/>
        <v>Technician</v>
      </c>
      <c r="B10">
        <f>P1_정원!B31-B29</f>
        <v>0</v>
      </c>
      <c r="C10">
        <f>P1_정원!C31-C29</f>
        <v>0</v>
      </c>
      <c r="D10">
        <f>P1_정원!D31-D29</f>
        <v>0</v>
      </c>
      <c r="E10">
        <f>P1_정원!E31-E29</f>
        <v>0</v>
      </c>
      <c r="F10">
        <f>P1_정원!F31-F29</f>
        <v>0</v>
      </c>
      <c r="G10">
        <f>P1_정원!G31-G29</f>
        <v>0</v>
      </c>
      <c r="H10">
        <f>P1_정원!H31-H29</f>
        <v>0</v>
      </c>
      <c r="I10">
        <f>P1_정원!I31-I29</f>
        <v>0</v>
      </c>
      <c r="J10">
        <f>P1_정원!J31-J29</f>
        <v>0</v>
      </c>
      <c r="K10">
        <f>P1_정원!K31-K29</f>
        <v>0</v>
      </c>
      <c r="L10">
        <f>P1_정원!L31-L29</f>
        <v>0</v>
      </c>
      <c r="M10">
        <f>P1_정원!M31-M29</f>
        <v>0</v>
      </c>
      <c r="N10">
        <f>P1_정원!N31-N29</f>
        <v>0</v>
      </c>
      <c r="O10">
        <f>P1_정원!O31-O29</f>
        <v>0</v>
      </c>
      <c r="P10">
        <f>P1_정원!P31-P29</f>
        <v>0</v>
      </c>
      <c r="Q10">
        <f>P1_정원!Q31-Q29</f>
        <v>0</v>
      </c>
      <c r="R10">
        <f>P1_정원!R31-R29</f>
        <v>0</v>
      </c>
      <c r="S10">
        <f>P1_정원!S31-S29</f>
        <v>0</v>
      </c>
      <c r="T10">
        <f>P1_정원!T31-T29</f>
        <v>0</v>
      </c>
      <c r="U10">
        <f>P1_정원!U31-U29</f>
        <v>0</v>
      </c>
      <c r="V10">
        <f>P1_정원!V31-V29</f>
        <v>0</v>
      </c>
      <c r="W10">
        <f>P1_정원!W31-W29</f>
        <v>0</v>
      </c>
      <c r="X10">
        <f>P1_정원!X31-X29</f>
        <v>0</v>
      </c>
      <c r="Y10">
        <f>P1_정원!Y31-Y29</f>
        <v>0</v>
      </c>
      <c r="Z10">
        <f>P1_정원!Z31-Z29</f>
        <v>0</v>
      </c>
      <c r="AA10">
        <f>P1_정원!AA31-AA29</f>
        <v>0</v>
      </c>
    </row>
    <row r="11" spans="1:27">
      <c r="A11" s="147" t="str">
        <f t="shared" si="2"/>
        <v>총합계</v>
      </c>
      <c r="B11">
        <f>P1_정원!B32-B30</f>
        <v>-1.7999999999999972</v>
      </c>
      <c r="C11">
        <f>P1_정원!C32-C30</f>
        <v>-3.2999999999999972</v>
      </c>
      <c r="D11">
        <f>P1_정원!D32-D30</f>
        <v>-3.7000000000000028</v>
      </c>
      <c r="E11">
        <f>P1_정원!E32-E30</f>
        <v>-3.7999999999999972</v>
      </c>
      <c r="F11">
        <f>P1_정원!F32-F30</f>
        <v>-3.7999999999999972</v>
      </c>
      <c r="G11">
        <f>P1_정원!G32-G30</f>
        <v>-3.5999999999999943</v>
      </c>
      <c r="H11">
        <f>P1_정원!H32-H30</f>
        <v>-3.0999999999999943</v>
      </c>
      <c r="I11">
        <f>P1_정원!I32-I30</f>
        <v>-2.5999999999999943</v>
      </c>
      <c r="J11">
        <f>P1_정원!J32-J30</f>
        <v>-7.0999999999999943</v>
      </c>
      <c r="K11">
        <f>P1_정원!K32-K30</f>
        <v>-2.7999999999999972</v>
      </c>
      <c r="L11">
        <f>P1_정원!L32-L30</f>
        <v>1</v>
      </c>
      <c r="M11">
        <f>P1_정원!M32-M30</f>
        <v>-3</v>
      </c>
      <c r="N11">
        <f>P1_정원!N32-N30</f>
        <v>-3</v>
      </c>
      <c r="O11">
        <f>P1_정원!O32-O30</f>
        <v>-2</v>
      </c>
      <c r="P11">
        <f>P1_정원!P32-P30</f>
        <v>1</v>
      </c>
      <c r="Q11">
        <f>P1_정원!Q32-Q30</f>
        <v>0</v>
      </c>
      <c r="R11">
        <f>P1_정원!R32-R30</f>
        <v>1</v>
      </c>
      <c r="S11">
        <f>P1_정원!S32-S30</f>
        <v>1</v>
      </c>
      <c r="T11">
        <f>P1_정원!T32-T30</f>
        <v>1.5</v>
      </c>
      <c r="U11">
        <f>P1_정원!U32-U30</f>
        <v>1.5</v>
      </c>
      <c r="V11">
        <f>P1_정원!V32-V30</f>
        <v>4</v>
      </c>
      <c r="W11">
        <f>P1_정원!W32-W30</f>
        <v>4</v>
      </c>
      <c r="X11">
        <f>P1_정원!X32-X30</f>
        <v>6.5</v>
      </c>
      <c r="Y11">
        <f>P1_정원!Y32-Y30</f>
        <v>21.5</v>
      </c>
      <c r="Z11">
        <f>P1_정원!Z32-Z30</f>
        <v>31.5</v>
      </c>
      <c r="AA11">
        <f>P1_정원!AA32-AA30</f>
        <v>31.5</v>
      </c>
    </row>
    <row r="14" spans="1:27" ht="20.25">
      <c r="A14" s="127" t="s">
        <v>150</v>
      </c>
      <c r="B14" s="101"/>
    </row>
    <row r="15" spans="1:27">
      <c r="A15" t="s">
        <v>60</v>
      </c>
      <c r="B15" t="s">
        <v>133</v>
      </c>
    </row>
    <row r="16" spans="1:27">
      <c r="A16" t="s">
        <v>57</v>
      </c>
      <c r="B16" t="s">
        <v>134</v>
      </c>
    </row>
    <row r="17" spans="1:27">
      <c r="A17" t="s">
        <v>58</v>
      </c>
      <c r="B17" t="s">
        <v>133</v>
      </c>
    </row>
    <row r="18" spans="1:27">
      <c r="A18" t="s">
        <v>59</v>
      </c>
      <c r="B18" t="s">
        <v>134</v>
      </c>
    </row>
    <row r="20" spans="1:27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  <c r="L20" t="s">
        <v>151</v>
      </c>
      <c r="M20" t="s">
        <v>152</v>
      </c>
      <c r="N20" t="s">
        <v>105</v>
      </c>
      <c r="O20" t="s">
        <v>106</v>
      </c>
      <c r="P20" t="s">
        <v>107</v>
      </c>
      <c r="Q20" t="s">
        <v>108</v>
      </c>
      <c r="R20" t="s">
        <v>153</v>
      </c>
      <c r="S20" t="s">
        <v>154</v>
      </c>
      <c r="T20" t="s">
        <v>111</v>
      </c>
      <c r="U20" t="s">
        <v>112</v>
      </c>
      <c r="V20" t="s">
        <v>155</v>
      </c>
      <c r="W20" t="s">
        <v>156</v>
      </c>
      <c r="X20" t="s">
        <v>157</v>
      </c>
      <c r="Y20" t="s">
        <v>116</v>
      </c>
      <c r="Z20" t="s">
        <v>117</v>
      </c>
      <c r="AA20" t="s">
        <v>118</v>
      </c>
    </row>
    <row r="21" spans="1:27">
      <c r="A21" s="6" t="s">
        <v>80</v>
      </c>
      <c r="B21">
        <v>4</v>
      </c>
      <c r="C21">
        <v>4.5</v>
      </c>
      <c r="D21">
        <v>5.3</v>
      </c>
      <c r="E21">
        <v>5.0999999999999996</v>
      </c>
      <c r="F21">
        <v>5.0999999999999996</v>
      </c>
      <c r="G21">
        <v>5</v>
      </c>
      <c r="H21">
        <v>5</v>
      </c>
      <c r="I21">
        <v>5</v>
      </c>
      <c r="J21">
        <v>5</v>
      </c>
      <c r="K21">
        <v>4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4.5</v>
      </c>
      <c r="W21">
        <v>4.5</v>
      </c>
      <c r="X21">
        <v>4</v>
      </c>
      <c r="Y21">
        <v>2</v>
      </c>
      <c r="Z21">
        <v>1.5</v>
      </c>
      <c r="AA21">
        <v>1.5</v>
      </c>
    </row>
    <row r="22" spans="1:27">
      <c r="A22" s="6" t="s">
        <v>74</v>
      </c>
      <c r="B22">
        <v>6</v>
      </c>
      <c r="C22">
        <v>7.5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8</v>
      </c>
      <c r="K22">
        <v>7.5</v>
      </c>
      <c r="L22">
        <v>7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8.5</v>
      </c>
      <c r="W22">
        <v>8.5</v>
      </c>
      <c r="X22">
        <v>7.5</v>
      </c>
      <c r="Y22">
        <v>4.5</v>
      </c>
      <c r="Z22">
        <v>2</v>
      </c>
      <c r="AA22">
        <v>2</v>
      </c>
    </row>
    <row r="23" spans="1:27">
      <c r="A23" s="6" t="s">
        <v>129</v>
      </c>
      <c r="B23">
        <v>3.2</v>
      </c>
      <c r="C23">
        <v>3.1</v>
      </c>
      <c r="D23">
        <v>3.7</v>
      </c>
      <c r="E23">
        <v>3.6</v>
      </c>
      <c r="F23">
        <v>3.6</v>
      </c>
      <c r="G23">
        <v>3.4</v>
      </c>
      <c r="H23">
        <v>3.4</v>
      </c>
      <c r="I23">
        <v>3.4</v>
      </c>
      <c r="J23">
        <v>3.9</v>
      </c>
      <c r="K23">
        <v>3.5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2.5</v>
      </c>
      <c r="U23">
        <v>2.5</v>
      </c>
      <c r="V23">
        <v>2</v>
      </c>
      <c r="W23">
        <v>2</v>
      </c>
      <c r="X23">
        <v>2</v>
      </c>
      <c r="Y23">
        <v>1</v>
      </c>
      <c r="Z23">
        <v>0.5</v>
      </c>
      <c r="AA23">
        <v>0.5</v>
      </c>
    </row>
    <row r="24" spans="1:27">
      <c r="A24" s="6" t="s">
        <v>72</v>
      </c>
      <c r="B24">
        <v>3.6999999999999997</v>
      </c>
      <c r="C24">
        <v>4</v>
      </c>
      <c r="D24">
        <v>4.5</v>
      </c>
      <c r="E24">
        <v>4.2</v>
      </c>
      <c r="F24">
        <v>4.2</v>
      </c>
      <c r="G24">
        <v>4</v>
      </c>
      <c r="H24">
        <v>4</v>
      </c>
      <c r="I24">
        <v>4</v>
      </c>
      <c r="J24">
        <v>4</v>
      </c>
      <c r="K24">
        <v>4.5999999999999996</v>
      </c>
      <c r="L24">
        <v>4</v>
      </c>
      <c r="M24">
        <v>5</v>
      </c>
      <c r="N24">
        <v>5</v>
      </c>
      <c r="O24">
        <v>5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3</v>
      </c>
      <c r="Y24">
        <v>2</v>
      </c>
      <c r="Z24">
        <v>0</v>
      </c>
      <c r="AA24">
        <v>0</v>
      </c>
    </row>
    <row r="25" spans="1:27">
      <c r="A25" s="6" t="s">
        <v>77</v>
      </c>
      <c r="B25">
        <v>6.2</v>
      </c>
      <c r="C25">
        <v>5.7</v>
      </c>
      <c r="D25">
        <v>6.7</v>
      </c>
      <c r="E25">
        <v>6.7</v>
      </c>
      <c r="F25">
        <v>6.7</v>
      </c>
      <c r="G25">
        <v>6.2</v>
      </c>
      <c r="H25">
        <v>6.2</v>
      </c>
      <c r="I25">
        <v>5.7</v>
      </c>
      <c r="J25">
        <v>6.7</v>
      </c>
      <c r="K25">
        <v>7.5</v>
      </c>
      <c r="L25">
        <v>7.5</v>
      </c>
      <c r="M25">
        <v>7.5</v>
      </c>
      <c r="N25">
        <v>7.5</v>
      </c>
      <c r="O25">
        <v>7.5</v>
      </c>
      <c r="P25">
        <v>7.5</v>
      </c>
      <c r="Q25">
        <v>7.5</v>
      </c>
      <c r="R25">
        <v>7.5</v>
      </c>
      <c r="S25">
        <v>7.5</v>
      </c>
      <c r="T25">
        <v>7.5</v>
      </c>
      <c r="U25">
        <v>7.5</v>
      </c>
      <c r="V25">
        <v>7.5</v>
      </c>
      <c r="W25">
        <v>7.5</v>
      </c>
      <c r="X25">
        <v>7.5</v>
      </c>
      <c r="Y25">
        <v>4.5</v>
      </c>
      <c r="Z25">
        <v>2.5</v>
      </c>
      <c r="AA25">
        <v>2.5</v>
      </c>
    </row>
    <row r="26" spans="1:27">
      <c r="A26" s="6" t="s">
        <v>78</v>
      </c>
      <c r="B26">
        <v>4</v>
      </c>
      <c r="C26">
        <v>3.5</v>
      </c>
      <c r="D26">
        <v>4</v>
      </c>
      <c r="E26">
        <v>4</v>
      </c>
      <c r="F26">
        <v>4</v>
      </c>
      <c r="G26">
        <v>5</v>
      </c>
      <c r="H26">
        <v>4.5</v>
      </c>
      <c r="I26">
        <v>4.5</v>
      </c>
      <c r="J26">
        <v>4.5</v>
      </c>
      <c r="K26">
        <v>4</v>
      </c>
      <c r="L26">
        <v>3</v>
      </c>
      <c r="M26">
        <v>3</v>
      </c>
      <c r="N26">
        <v>3</v>
      </c>
      <c r="O26">
        <v>3</v>
      </c>
      <c r="P26">
        <v>3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2.5</v>
      </c>
      <c r="Z26">
        <v>2</v>
      </c>
      <c r="AA26">
        <v>2</v>
      </c>
    </row>
    <row r="27" spans="1:27">
      <c r="A27" s="6" t="s">
        <v>71</v>
      </c>
      <c r="B27">
        <v>10</v>
      </c>
      <c r="C27">
        <v>10</v>
      </c>
      <c r="D27">
        <v>9</v>
      </c>
      <c r="E27">
        <v>9</v>
      </c>
      <c r="F27">
        <v>9</v>
      </c>
      <c r="G27">
        <v>9</v>
      </c>
      <c r="H27">
        <v>9</v>
      </c>
      <c r="I27">
        <v>9</v>
      </c>
      <c r="J27">
        <v>11</v>
      </c>
      <c r="K27">
        <v>8.6999999999999993</v>
      </c>
      <c r="L27">
        <v>7</v>
      </c>
      <c r="M27">
        <v>8</v>
      </c>
      <c r="N27">
        <v>8</v>
      </c>
      <c r="O27">
        <v>8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6.5</v>
      </c>
      <c r="W27">
        <v>6.5</v>
      </c>
      <c r="X27">
        <v>6.5</v>
      </c>
      <c r="Y27">
        <v>4.5</v>
      </c>
      <c r="Z27">
        <v>3</v>
      </c>
      <c r="AA27">
        <v>3</v>
      </c>
    </row>
    <row r="28" spans="1:27">
      <c r="A28" s="6" t="s">
        <v>70</v>
      </c>
      <c r="B28">
        <v>5.6999999999999993</v>
      </c>
      <c r="C28">
        <v>5.9999999999999991</v>
      </c>
      <c r="D28">
        <v>5.4999999999999991</v>
      </c>
      <c r="E28">
        <v>5.1999999999999993</v>
      </c>
      <c r="F28">
        <v>5.2</v>
      </c>
      <c r="G28">
        <v>5</v>
      </c>
      <c r="H28">
        <v>5</v>
      </c>
      <c r="I28">
        <v>5</v>
      </c>
      <c r="J28">
        <v>5</v>
      </c>
      <c r="K28">
        <v>4</v>
      </c>
      <c r="L28">
        <v>3.5</v>
      </c>
      <c r="M28">
        <v>3.5</v>
      </c>
      <c r="N28">
        <v>3.5</v>
      </c>
      <c r="O28">
        <v>3.5</v>
      </c>
      <c r="P28">
        <v>2.5</v>
      </c>
      <c r="Q28">
        <v>2.5</v>
      </c>
      <c r="R28">
        <v>2.5</v>
      </c>
      <c r="S28">
        <v>2.5</v>
      </c>
      <c r="T28">
        <v>2.5</v>
      </c>
      <c r="U28">
        <v>2.5</v>
      </c>
      <c r="V28">
        <v>2</v>
      </c>
      <c r="W28">
        <v>2</v>
      </c>
      <c r="X28">
        <v>2</v>
      </c>
      <c r="Y28">
        <v>0.5</v>
      </c>
      <c r="Z28">
        <v>0</v>
      </c>
      <c r="AA28">
        <v>0</v>
      </c>
    </row>
    <row r="29" spans="1:27">
      <c r="A29" s="6" t="s">
        <v>130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6" t="s">
        <v>123</v>
      </c>
      <c r="B30">
        <v>42.8</v>
      </c>
      <c r="C30">
        <v>44.3</v>
      </c>
      <c r="D30">
        <v>44.7</v>
      </c>
      <c r="E30">
        <v>43.8</v>
      </c>
      <c r="F30">
        <v>43.8</v>
      </c>
      <c r="G30">
        <v>43.599999999999994</v>
      </c>
      <c r="H30">
        <v>43.099999999999994</v>
      </c>
      <c r="I30">
        <v>42.599999999999994</v>
      </c>
      <c r="J30">
        <v>48.099999999999994</v>
      </c>
      <c r="K30">
        <v>43.8</v>
      </c>
      <c r="L30">
        <v>40</v>
      </c>
      <c r="M30">
        <v>44</v>
      </c>
      <c r="N30">
        <v>44</v>
      </c>
      <c r="O30">
        <v>44</v>
      </c>
      <c r="P30">
        <v>41</v>
      </c>
      <c r="Q30">
        <v>42</v>
      </c>
      <c r="R30">
        <v>42</v>
      </c>
      <c r="S30">
        <v>42</v>
      </c>
      <c r="T30">
        <v>41.5</v>
      </c>
      <c r="U30">
        <v>41.5</v>
      </c>
      <c r="V30">
        <v>39</v>
      </c>
      <c r="W30">
        <v>39</v>
      </c>
      <c r="X30">
        <v>36.5</v>
      </c>
      <c r="Y30">
        <v>21.5</v>
      </c>
      <c r="Z30">
        <v>11.5</v>
      </c>
      <c r="AA30">
        <v>11.5</v>
      </c>
    </row>
    <row r="35" spans="1:20" s="46" customFormat="1" ht="20.25">
      <c r="A35" s="104" t="s">
        <v>158</v>
      </c>
      <c r="B35" s="104"/>
    </row>
    <row r="37" spans="1:20">
      <c r="A37" t="s">
        <v>60</v>
      </c>
      <c r="B37" t="s">
        <v>133</v>
      </c>
    </row>
    <row r="38" spans="1:20">
      <c r="A38" t="s">
        <v>57</v>
      </c>
      <c r="B38" t="s">
        <v>134</v>
      </c>
    </row>
    <row r="39" spans="1:20">
      <c r="A39" t="s">
        <v>58</v>
      </c>
      <c r="B39" t="s">
        <v>133</v>
      </c>
    </row>
    <row r="41" spans="1:20">
      <c r="A41" t="s">
        <v>92</v>
      </c>
      <c r="B41" t="s">
        <v>93</v>
      </c>
      <c r="C41" t="s">
        <v>94</v>
      </c>
      <c r="D41" t="s">
        <v>95</v>
      </c>
      <c r="E41" t="s">
        <v>96</v>
      </c>
      <c r="F41" t="s">
        <v>97</v>
      </c>
      <c r="G41" t="s">
        <v>98</v>
      </c>
      <c r="H41" t="s">
        <v>99</v>
      </c>
      <c r="I41" t="s">
        <v>100</v>
      </c>
      <c r="J41" t="s">
        <v>101</v>
      </c>
      <c r="K41" t="s">
        <v>102</v>
      </c>
      <c r="L41" t="s">
        <v>105</v>
      </c>
      <c r="M41" t="s">
        <v>106</v>
      </c>
      <c r="N41" t="s">
        <v>107</v>
      </c>
      <c r="O41" t="s">
        <v>108</v>
      </c>
      <c r="P41" t="s">
        <v>111</v>
      </c>
      <c r="Q41" t="s">
        <v>112</v>
      </c>
      <c r="R41" t="s">
        <v>116</v>
      </c>
      <c r="S41" t="s">
        <v>117</v>
      </c>
      <c r="T41" t="s">
        <v>118</v>
      </c>
    </row>
    <row r="42" spans="1:20">
      <c r="A42" s="6" t="s">
        <v>137</v>
      </c>
      <c r="B42">
        <v>0.5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s="6" t="s">
        <v>138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s="6" t="s">
        <v>139</v>
      </c>
      <c r="B44">
        <v>4.5999999999999996</v>
      </c>
      <c r="C44">
        <v>4.0999999999999996</v>
      </c>
      <c r="D44">
        <v>1.5</v>
      </c>
      <c r="E44">
        <v>0.6</v>
      </c>
      <c r="F44">
        <v>0.6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s="6" t="s">
        <v>140</v>
      </c>
      <c r="B45">
        <v>4.9000000000000004</v>
      </c>
      <c r="C45">
        <v>3.7</v>
      </c>
      <c r="D45">
        <v>0.2</v>
      </c>
      <c r="E45">
        <v>0.2</v>
      </c>
      <c r="F45">
        <v>0.2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s="6" t="s">
        <v>141</v>
      </c>
      <c r="B46">
        <v>3.4000000000000004</v>
      </c>
      <c r="C46">
        <v>7.1000000000000005</v>
      </c>
      <c r="D46">
        <v>8.1000000000000014</v>
      </c>
      <c r="E46">
        <v>8.6000000000000014</v>
      </c>
      <c r="F46">
        <v>8.6000000000000014</v>
      </c>
      <c r="G46">
        <v>7.6000000000000005</v>
      </c>
      <c r="H46">
        <v>7.6000000000000005</v>
      </c>
      <c r="I46">
        <v>7.6000000000000005</v>
      </c>
      <c r="J46">
        <v>7.6000000000000005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s="6" t="s">
        <v>142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</row>
    <row r="48" spans="1:20">
      <c r="A48" s="6" t="s">
        <v>143</v>
      </c>
      <c r="B48">
        <v>10.4</v>
      </c>
      <c r="C48">
        <v>10.5</v>
      </c>
      <c r="D48">
        <v>6.9</v>
      </c>
      <c r="E48">
        <v>6.9</v>
      </c>
      <c r="F48">
        <v>6.8000000000000007</v>
      </c>
      <c r="G48">
        <v>6.3000000000000007</v>
      </c>
      <c r="H48">
        <v>5.8000000000000007</v>
      </c>
      <c r="I48">
        <v>5.8000000000000007</v>
      </c>
      <c r="J48">
        <v>5.8000000000000007</v>
      </c>
      <c r="K48">
        <v>5.8000000000000007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s="6" t="s">
        <v>144</v>
      </c>
      <c r="B49">
        <v>8.5</v>
      </c>
      <c r="C49">
        <v>8.3999999999999986</v>
      </c>
      <c r="D49">
        <v>11</v>
      </c>
      <c r="E49">
        <v>11</v>
      </c>
      <c r="F49">
        <v>11.1</v>
      </c>
      <c r="G49">
        <v>11.7</v>
      </c>
      <c r="H49">
        <v>11.7</v>
      </c>
      <c r="I49">
        <v>11.7</v>
      </c>
      <c r="J49">
        <v>12.7</v>
      </c>
      <c r="K49">
        <v>14.5</v>
      </c>
      <c r="L49">
        <v>14.5</v>
      </c>
      <c r="M49">
        <v>14.5</v>
      </c>
      <c r="N49">
        <v>15</v>
      </c>
      <c r="O49">
        <v>15</v>
      </c>
      <c r="P49">
        <v>14.5</v>
      </c>
      <c r="Q49">
        <v>14.5</v>
      </c>
      <c r="R49">
        <v>0</v>
      </c>
      <c r="S49">
        <v>0</v>
      </c>
      <c r="T49">
        <v>0</v>
      </c>
    </row>
    <row r="50" spans="1:20">
      <c r="A50" s="6" t="s">
        <v>145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0.5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0.5</v>
      </c>
    </row>
    <row r="51" spans="1:20">
      <c r="A51" s="6" t="s">
        <v>146</v>
      </c>
      <c r="B51">
        <v>4.5</v>
      </c>
      <c r="C51">
        <v>2.5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s="6" t="s">
        <v>147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s="124" t="s">
        <v>148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4.5</v>
      </c>
      <c r="K53">
        <v>5</v>
      </c>
      <c r="L53">
        <v>11</v>
      </c>
      <c r="M53">
        <v>11</v>
      </c>
      <c r="N53">
        <v>11</v>
      </c>
      <c r="O53">
        <v>12</v>
      </c>
      <c r="P53">
        <v>12</v>
      </c>
      <c r="Q53">
        <v>12</v>
      </c>
      <c r="R53">
        <v>9</v>
      </c>
      <c r="S53">
        <v>9</v>
      </c>
      <c r="T53">
        <v>9</v>
      </c>
    </row>
    <row r="54" spans="1:20">
      <c r="A54" s="149" t="s">
        <v>149</v>
      </c>
      <c r="B54">
        <v>0</v>
      </c>
      <c r="C54">
        <v>2</v>
      </c>
      <c r="D54">
        <v>11</v>
      </c>
      <c r="E54">
        <v>10.5</v>
      </c>
      <c r="F54">
        <v>10.5</v>
      </c>
      <c r="G54">
        <v>12</v>
      </c>
      <c r="H54">
        <v>12</v>
      </c>
      <c r="I54">
        <v>12</v>
      </c>
      <c r="J54">
        <v>12</v>
      </c>
      <c r="K54">
        <v>13</v>
      </c>
      <c r="L54">
        <v>13</v>
      </c>
      <c r="M54">
        <v>13</v>
      </c>
      <c r="N54">
        <v>12.5</v>
      </c>
      <c r="O54">
        <v>12.5</v>
      </c>
      <c r="P54">
        <v>12.5</v>
      </c>
      <c r="Q54">
        <v>12.5</v>
      </c>
      <c r="R54">
        <v>10</v>
      </c>
      <c r="S54">
        <v>0</v>
      </c>
      <c r="T54">
        <v>0</v>
      </c>
    </row>
    <row r="55" spans="1:20">
      <c r="A55" s="6" t="s">
        <v>123</v>
      </c>
      <c r="B55">
        <v>42.8</v>
      </c>
      <c r="C55">
        <v>44.3</v>
      </c>
      <c r="D55">
        <v>44.7</v>
      </c>
      <c r="E55">
        <v>43.800000000000004</v>
      </c>
      <c r="F55">
        <v>43.800000000000004</v>
      </c>
      <c r="G55">
        <v>43.6</v>
      </c>
      <c r="H55">
        <v>43.1</v>
      </c>
      <c r="I55">
        <v>42.6</v>
      </c>
      <c r="J55">
        <v>48.1</v>
      </c>
      <c r="K55">
        <v>43.8</v>
      </c>
      <c r="L55">
        <v>44</v>
      </c>
      <c r="M55">
        <v>44</v>
      </c>
      <c r="N55">
        <v>41</v>
      </c>
      <c r="O55">
        <v>42</v>
      </c>
      <c r="P55">
        <v>41.5</v>
      </c>
      <c r="Q55">
        <v>41.5</v>
      </c>
      <c r="R55">
        <v>21.5</v>
      </c>
      <c r="S55">
        <v>11.5</v>
      </c>
      <c r="T55">
        <v>11.5</v>
      </c>
    </row>
  </sheetData>
  <sortState xmlns:xlrd2="http://schemas.microsoft.com/office/spreadsheetml/2017/richdata2" columnSort="1" ref="A41:V56">
    <sortCondition descending="1" ref="R41"/>
  </sortState>
  <phoneticPr fontId="1" type="noConversion"/>
  <conditionalFormatting sqref="A16:S16">
    <cfRule type="colorScale" priority="2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A36:S37">
    <cfRule type="colorScale" priority="3">
      <colorScale>
        <cfvo type="min"/>
        <cfvo type="num" val="0"/>
        <cfvo type="max"/>
        <color rgb="FFFF7C80"/>
        <color theme="0"/>
        <color rgb="FF00CC99"/>
      </colorScale>
    </cfRule>
  </conditionalFormatting>
  <conditionalFormatting sqref="A15:XFD15 U16:XFD17 C14:XFD14 A12:XFD13 A2:A11 AB2:XFD1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{00000000-000E-0000-0600-000003000000}</x14:id>
        </ext>
      </extLst>
    </cfRule>
  </conditionalFormatting>
  <conditionalFormatting sqref="B2:AA11">
    <cfRule type="cellIs" dxfId="4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600-000003000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A15:XFD15 U16:XFD17 C14:XFD14 A12:XFD13 A2:A11 AB2:XFD11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2BB4-F0D1-4D87-A872-265AAF6AA3C3}">
  <sheetPr>
    <tabColor rgb="FFFFC000"/>
  </sheetPr>
  <dimension ref="A2:T100"/>
  <sheetViews>
    <sheetView topLeftCell="A13" zoomScale="85" zoomScaleNormal="85" workbookViewId="0">
      <selection activeCell="A18" sqref="A18"/>
    </sheetView>
  </sheetViews>
  <sheetFormatPr defaultRowHeight="16.5"/>
  <cols>
    <col min="1" max="1" width="43.375" bestFit="1" customWidth="1"/>
    <col min="2" max="2" width="13.625" bestFit="1" customWidth="1"/>
    <col min="3" max="3" width="12.875" bestFit="1" customWidth="1"/>
    <col min="4" max="4" width="14.25" bestFit="1" customWidth="1"/>
    <col min="5" max="6" width="13.75" bestFit="1" customWidth="1"/>
    <col min="7" max="7" width="14.25" bestFit="1" customWidth="1"/>
    <col min="8" max="8" width="13.875" bestFit="1" customWidth="1"/>
    <col min="9" max="9" width="13.375" bestFit="1" customWidth="1"/>
    <col min="10" max="10" width="13.75" bestFit="1" customWidth="1"/>
    <col min="11" max="11" width="14.125" bestFit="1" customWidth="1"/>
    <col min="12" max="12" width="13.875" bestFit="1" customWidth="1"/>
    <col min="13" max="13" width="14.375" bestFit="1" customWidth="1"/>
    <col min="14" max="14" width="13.625" bestFit="1" customWidth="1"/>
    <col min="15" max="15" width="12.875" bestFit="1" customWidth="1"/>
    <col min="16" max="16" width="14.25" bestFit="1" customWidth="1"/>
    <col min="17" max="18" width="13.75" bestFit="1" customWidth="1"/>
    <col min="19" max="19" width="14.25" bestFit="1" customWidth="1"/>
    <col min="20" max="20" width="13.875" bestFit="1" customWidth="1"/>
  </cols>
  <sheetData>
    <row r="2" spans="1:20">
      <c r="A2" s="5" t="s">
        <v>57</v>
      </c>
      <c r="B2" t="s">
        <v>159</v>
      </c>
    </row>
    <row r="3" spans="1:20">
      <c r="A3" s="5" t="s">
        <v>60</v>
      </c>
      <c r="B3" t="s">
        <v>134</v>
      </c>
    </row>
    <row r="5" spans="1:20">
      <c r="A5" s="5" t="s">
        <v>92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</row>
    <row r="6" spans="1:20">
      <c r="A6" s="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 s="6" t="s">
        <v>165</v>
      </c>
      <c r="B7">
        <v>2.5999999999999996</v>
      </c>
      <c r="C7">
        <v>2.9</v>
      </c>
      <c r="D7">
        <v>3.0999999999999996</v>
      </c>
      <c r="E7">
        <v>3.0999999999999996</v>
      </c>
      <c r="F7">
        <v>3.0999999999999996</v>
      </c>
      <c r="G7">
        <v>3.0999999999999996</v>
      </c>
      <c r="H7">
        <v>3.4</v>
      </c>
      <c r="I7">
        <v>3.2</v>
      </c>
      <c r="J7">
        <v>3.2</v>
      </c>
      <c r="K7">
        <v>2.9</v>
      </c>
      <c r="L7">
        <v>2.4</v>
      </c>
      <c r="M7">
        <v>2.4</v>
      </c>
      <c r="N7">
        <v>2.2999999999999998</v>
      </c>
      <c r="O7">
        <v>2.2999999999999998</v>
      </c>
      <c r="P7">
        <v>1.7</v>
      </c>
      <c r="Q7">
        <v>1.2</v>
      </c>
      <c r="R7">
        <v>1.2</v>
      </c>
      <c r="S7">
        <v>1.2</v>
      </c>
      <c r="T7">
        <v>1.2</v>
      </c>
    </row>
    <row r="8" spans="1:20">
      <c r="A8" s="150" t="s">
        <v>166</v>
      </c>
      <c r="B8">
        <v>0.5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0.5</v>
      </c>
      <c r="J8">
        <v>0.5</v>
      </c>
      <c r="K8">
        <v>0.5</v>
      </c>
      <c r="L8">
        <v>0.4</v>
      </c>
      <c r="M8">
        <v>0.4</v>
      </c>
      <c r="N8">
        <v>0.4</v>
      </c>
      <c r="O8">
        <v>0.4</v>
      </c>
      <c r="P8">
        <v>0.30000000000000004</v>
      </c>
      <c r="Q8">
        <v>0.2</v>
      </c>
      <c r="R8">
        <v>0.2</v>
      </c>
      <c r="S8">
        <v>0.2</v>
      </c>
      <c r="T8">
        <v>0.2</v>
      </c>
    </row>
    <row r="9" spans="1:20">
      <c r="A9" s="151" t="s">
        <v>66</v>
      </c>
      <c r="B9">
        <v>0.5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0.4</v>
      </c>
      <c r="I9">
        <v>0.5</v>
      </c>
      <c r="J9">
        <v>0.5</v>
      </c>
      <c r="K9">
        <v>0.5</v>
      </c>
      <c r="L9">
        <v>0.4</v>
      </c>
      <c r="M9">
        <v>0.4</v>
      </c>
      <c r="N9">
        <v>0.4</v>
      </c>
      <c r="O9">
        <v>0.4</v>
      </c>
      <c r="P9">
        <v>0.30000000000000004</v>
      </c>
      <c r="Q9">
        <v>0.2</v>
      </c>
      <c r="R9">
        <v>0.2</v>
      </c>
      <c r="S9">
        <v>0.2</v>
      </c>
      <c r="T9">
        <v>0.2</v>
      </c>
    </row>
    <row r="10" spans="1:20">
      <c r="A10" s="150" t="s">
        <v>165</v>
      </c>
      <c r="B10">
        <v>2.0999999999999996</v>
      </c>
      <c r="C10">
        <v>2.5</v>
      </c>
      <c r="D10">
        <v>2.6999999999999997</v>
      </c>
      <c r="E10">
        <v>2.6999999999999997</v>
      </c>
      <c r="F10">
        <v>2.6999999999999997</v>
      </c>
      <c r="G10">
        <v>2.6999999999999997</v>
      </c>
      <c r="H10">
        <v>3</v>
      </c>
      <c r="I10">
        <v>2.7</v>
      </c>
      <c r="J10">
        <v>2.7</v>
      </c>
      <c r="K10">
        <v>2.4</v>
      </c>
      <c r="L10">
        <v>2</v>
      </c>
      <c r="M10">
        <v>2</v>
      </c>
      <c r="N10">
        <v>1.9</v>
      </c>
      <c r="O10">
        <v>1.9</v>
      </c>
      <c r="P10">
        <v>1.4000000000000001</v>
      </c>
      <c r="Q10">
        <v>1</v>
      </c>
      <c r="R10">
        <v>1</v>
      </c>
      <c r="S10">
        <v>1</v>
      </c>
      <c r="T10">
        <v>1</v>
      </c>
    </row>
    <row r="11" spans="1:20">
      <c r="A11" s="151" t="s">
        <v>69</v>
      </c>
      <c r="B11">
        <v>0.79999999999999993</v>
      </c>
      <c r="C11">
        <v>0.99999999999999989</v>
      </c>
      <c r="D11">
        <v>0.99999999999999989</v>
      </c>
      <c r="E11">
        <v>0.99999999999999989</v>
      </c>
      <c r="F11">
        <v>0.99999999999999989</v>
      </c>
      <c r="G11">
        <v>0.99999999999999989</v>
      </c>
      <c r="H11">
        <v>1.1000000000000001</v>
      </c>
      <c r="I11">
        <v>1.1000000000000001</v>
      </c>
      <c r="J11">
        <v>1.1000000000000001</v>
      </c>
      <c r="K11">
        <v>1</v>
      </c>
      <c r="L11">
        <v>0.79999999999999993</v>
      </c>
      <c r="M11">
        <v>0.79999999999999993</v>
      </c>
      <c r="N11">
        <v>0.7</v>
      </c>
      <c r="O11">
        <v>0.7</v>
      </c>
      <c r="P11">
        <v>0.5</v>
      </c>
      <c r="Q11">
        <v>0.4</v>
      </c>
      <c r="R11">
        <v>0.4</v>
      </c>
      <c r="S11">
        <v>0.4</v>
      </c>
      <c r="T11">
        <v>0.4</v>
      </c>
    </row>
    <row r="12" spans="1:20">
      <c r="A12" s="151" t="s">
        <v>67</v>
      </c>
      <c r="B12">
        <v>0.79999999999999993</v>
      </c>
      <c r="C12">
        <v>0.99999999999999989</v>
      </c>
      <c r="D12">
        <v>1.2</v>
      </c>
      <c r="E12">
        <v>1.2</v>
      </c>
      <c r="F12">
        <v>1.2</v>
      </c>
      <c r="G12">
        <v>1.2</v>
      </c>
      <c r="H12">
        <v>1.4</v>
      </c>
      <c r="I12">
        <v>1.1000000000000001</v>
      </c>
      <c r="J12">
        <v>1.1000000000000001</v>
      </c>
      <c r="K12">
        <v>1</v>
      </c>
      <c r="L12">
        <v>0.79999999999999993</v>
      </c>
      <c r="M12">
        <v>0.79999999999999993</v>
      </c>
      <c r="N12">
        <v>0.79999999999999993</v>
      </c>
      <c r="O12">
        <v>0.79999999999999993</v>
      </c>
      <c r="P12">
        <v>0.6</v>
      </c>
      <c r="Q12">
        <v>0.4</v>
      </c>
      <c r="R12">
        <v>0.4</v>
      </c>
      <c r="S12">
        <v>0.4</v>
      </c>
      <c r="T12">
        <v>0.4</v>
      </c>
    </row>
    <row r="13" spans="1:20">
      <c r="A13" s="151" t="s">
        <v>75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0.30000000000000004</v>
      </c>
      <c r="Q13">
        <v>0.2</v>
      </c>
      <c r="R13">
        <v>0.2</v>
      </c>
      <c r="S13">
        <v>0.2</v>
      </c>
      <c r="T13">
        <v>0.2</v>
      </c>
    </row>
    <row r="14" spans="1:20">
      <c r="A14" s="6" t="s">
        <v>167</v>
      </c>
      <c r="B14">
        <v>5</v>
      </c>
      <c r="C14">
        <v>5</v>
      </c>
      <c r="D14">
        <v>5</v>
      </c>
      <c r="E14">
        <v>5.3</v>
      </c>
      <c r="F14">
        <v>4.8000000000000007</v>
      </c>
      <c r="G14">
        <v>4.8000000000000007</v>
      </c>
      <c r="H14">
        <v>5.3</v>
      </c>
      <c r="I14">
        <v>6.2</v>
      </c>
      <c r="J14">
        <v>6</v>
      </c>
      <c r="K14">
        <v>6</v>
      </c>
      <c r="L14">
        <v>5.8</v>
      </c>
      <c r="M14">
        <v>5.8</v>
      </c>
      <c r="N14">
        <v>5.8</v>
      </c>
      <c r="O14">
        <v>5.8</v>
      </c>
      <c r="P14">
        <v>4.5</v>
      </c>
      <c r="Q14">
        <v>3.3</v>
      </c>
      <c r="R14">
        <v>3.3</v>
      </c>
      <c r="S14">
        <v>3.3</v>
      </c>
      <c r="T14">
        <v>3.3</v>
      </c>
    </row>
    <row r="15" spans="1:20" s="137" customFormat="1">
      <c r="A15" s="6" t="s">
        <v>168</v>
      </c>
      <c r="B15">
        <v>5.8</v>
      </c>
      <c r="C15">
        <v>7.8999999999999995</v>
      </c>
      <c r="D15">
        <v>9.6</v>
      </c>
      <c r="E15">
        <v>8</v>
      </c>
      <c r="F15">
        <v>7</v>
      </c>
      <c r="G15">
        <v>7</v>
      </c>
      <c r="H15">
        <v>8.6999999999999993</v>
      </c>
      <c r="I15">
        <v>6.9</v>
      </c>
      <c r="J15">
        <v>6.8999999999999995</v>
      </c>
      <c r="K15">
        <v>6.8999999999999995</v>
      </c>
      <c r="L15">
        <v>6.8</v>
      </c>
      <c r="M15">
        <v>6.8</v>
      </c>
      <c r="N15">
        <v>6.8</v>
      </c>
      <c r="O15">
        <v>7.7999999999999989</v>
      </c>
      <c r="P15">
        <v>7</v>
      </c>
      <c r="Q15">
        <v>6.3999999999999995</v>
      </c>
      <c r="R15">
        <v>6.3999999999999995</v>
      </c>
      <c r="S15">
        <v>6.3999999999999995</v>
      </c>
      <c r="T15">
        <v>6.3999999999999995</v>
      </c>
    </row>
    <row r="16" spans="1:20">
      <c r="A16" s="6" t="s">
        <v>129</v>
      </c>
      <c r="B16">
        <v>3</v>
      </c>
      <c r="C16">
        <v>3.5</v>
      </c>
      <c r="D16">
        <v>3</v>
      </c>
      <c r="E16">
        <v>3.0000000000000004</v>
      </c>
      <c r="F16">
        <v>3.0000000000000004</v>
      </c>
      <c r="G16">
        <v>3.1999999999999997</v>
      </c>
      <c r="H16">
        <v>3.1</v>
      </c>
      <c r="I16">
        <v>3.7</v>
      </c>
      <c r="J16">
        <v>3.6</v>
      </c>
      <c r="K16">
        <v>3.6</v>
      </c>
      <c r="L16">
        <v>3.4</v>
      </c>
      <c r="M16">
        <v>3.4</v>
      </c>
      <c r="N16">
        <v>3.4</v>
      </c>
      <c r="O16">
        <v>3.4</v>
      </c>
      <c r="P16">
        <v>2.5</v>
      </c>
      <c r="Q16">
        <v>2</v>
      </c>
      <c r="R16">
        <v>2</v>
      </c>
      <c r="S16">
        <v>2</v>
      </c>
      <c r="T16">
        <v>2</v>
      </c>
    </row>
    <row r="17" spans="1:20">
      <c r="A17" s="6" t="s">
        <v>169</v>
      </c>
      <c r="B17">
        <v>9.6999999999999993</v>
      </c>
      <c r="C17">
        <v>10.8</v>
      </c>
      <c r="D17">
        <v>10.799999999999999</v>
      </c>
      <c r="E17">
        <v>11.8</v>
      </c>
      <c r="F17">
        <v>12</v>
      </c>
      <c r="G17">
        <v>11.2</v>
      </c>
      <c r="H17">
        <v>10.199999999999999</v>
      </c>
      <c r="I17">
        <v>11.9</v>
      </c>
      <c r="J17">
        <v>11.9</v>
      </c>
      <c r="K17">
        <v>11.9</v>
      </c>
      <c r="L17">
        <v>12.3</v>
      </c>
      <c r="M17">
        <v>11.8</v>
      </c>
      <c r="N17">
        <v>11.1</v>
      </c>
      <c r="O17">
        <v>11.1</v>
      </c>
      <c r="P17">
        <v>11.2</v>
      </c>
      <c r="Q17">
        <v>10.1</v>
      </c>
      <c r="R17">
        <v>10.1</v>
      </c>
      <c r="S17">
        <v>10.1</v>
      </c>
      <c r="T17">
        <v>10.1</v>
      </c>
    </row>
    <row r="18" spans="1:20">
      <c r="A18" s="150" t="s">
        <v>170</v>
      </c>
      <c r="B18">
        <v>1.2</v>
      </c>
      <c r="C18">
        <v>1</v>
      </c>
      <c r="D18">
        <v>0.8</v>
      </c>
      <c r="E18">
        <v>0.8</v>
      </c>
      <c r="F18">
        <v>1</v>
      </c>
      <c r="G18">
        <v>1</v>
      </c>
      <c r="H18">
        <v>1</v>
      </c>
      <c r="I18">
        <v>1.2</v>
      </c>
      <c r="J18">
        <v>1.2</v>
      </c>
      <c r="K18">
        <v>1.2</v>
      </c>
      <c r="L18">
        <v>1.0999999999999999</v>
      </c>
      <c r="M18">
        <v>1.0999999999999999</v>
      </c>
      <c r="N18">
        <v>0.89999999999999991</v>
      </c>
      <c r="O18">
        <v>0.89999999999999991</v>
      </c>
      <c r="P18">
        <v>0.7</v>
      </c>
      <c r="Q18">
        <v>0.6</v>
      </c>
      <c r="R18">
        <v>0.6</v>
      </c>
      <c r="S18">
        <v>0.6</v>
      </c>
      <c r="T18">
        <v>0.6</v>
      </c>
    </row>
    <row r="19" spans="1:20">
      <c r="A19" s="150" t="s">
        <v>77</v>
      </c>
      <c r="B19">
        <v>5.5</v>
      </c>
      <c r="C19">
        <v>6.3</v>
      </c>
      <c r="D19">
        <v>6.5</v>
      </c>
      <c r="E19">
        <v>7</v>
      </c>
      <c r="F19">
        <v>7</v>
      </c>
      <c r="G19">
        <v>6.2</v>
      </c>
      <c r="H19">
        <v>5.7</v>
      </c>
      <c r="I19">
        <v>6.7</v>
      </c>
      <c r="J19">
        <v>6.7</v>
      </c>
      <c r="K19">
        <v>6.7</v>
      </c>
      <c r="L19">
        <v>6.2</v>
      </c>
      <c r="M19">
        <v>6.2</v>
      </c>
      <c r="N19">
        <v>5.7</v>
      </c>
      <c r="O19">
        <v>5.7</v>
      </c>
      <c r="P19">
        <v>6.5</v>
      </c>
      <c r="Q19">
        <v>6.5</v>
      </c>
      <c r="R19">
        <v>6.5</v>
      </c>
      <c r="S19">
        <v>6.5</v>
      </c>
      <c r="T19">
        <v>6.5</v>
      </c>
    </row>
    <row r="20" spans="1:20">
      <c r="A20" s="151" t="s">
        <v>171</v>
      </c>
      <c r="B20">
        <v>0</v>
      </c>
      <c r="C20">
        <v>0.3</v>
      </c>
      <c r="D20">
        <v>1</v>
      </c>
      <c r="E20">
        <v>1.5</v>
      </c>
      <c r="F20">
        <v>1.5</v>
      </c>
      <c r="G20">
        <v>0.5</v>
      </c>
      <c r="H20">
        <v>0.5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s="154" t="s">
        <v>142</v>
      </c>
      <c r="B21">
        <v>0</v>
      </c>
      <c r="C21">
        <v>0.3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s="154" t="s">
        <v>143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s="154" t="s">
        <v>146</v>
      </c>
      <c r="B23">
        <v>0</v>
      </c>
      <c r="C23">
        <v>0</v>
      </c>
      <c r="D23">
        <v>0</v>
      </c>
      <c r="E23">
        <v>0.5</v>
      </c>
      <c r="F23">
        <v>0.5</v>
      </c>
      <c r="G23">
        <v>0.5</v>
      </c>
      <c r="H23">
        <v>0.5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s="151" t="s">
        <v>172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 s="154" t="s">
        <v>143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s="154" t="s">
        <v>144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 s="151" t="s">
        <v>173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 s="154" t="s">
        <v>142</v>
      </c>
      <c r="B28">
        <v>1</v>
      </c>
      <c r="C28">
        <v>1</v>
      </c>
      <c r="D28">
        <v>1</v>
      </c>
      <c r="E28">
        <v>1</v>
      </c>
      <c r="F28">
        <v>0.5</v>
      </c>
      <c r="G28">
        <v>0.5</v>
      </c>
      <c r="H28">
        <v>0.5</v>
      </c>
      <c r="I28">
        <v>0.5</v>
      </c>
      <c r="J28">
        <v>0.5</v>
      </c>
      <c r="K28">
        <v>0.5</v>
      </c>
      <c r="L28">
        <v>0.5</v>
      </c>
      <c r="M28">
        <v>0.5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 s="154" t="s">
        <v>143</v>
      </c>
      <c r="B29">
        <v>0.5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  <c r="J29">
        <v>0.5</v>
      </c>
      <c r="K29">
        <v>0.5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154" t="s">
        <v>145</v>
      </c>
      <c r="B30">
        <v>0</v>
      </c>
      <c r="C30">
        <v>0</v>
      </c>
      <c r="D30">
        <v>0</v>
      </c>
      <c r="E30">
        <v>0</v>
      </c>
      <c r="F30">
        <v>0.5</v>
      </c>
      <c r="G30">
        <v>0.5</v>
      </c>
      <c r="H30">
        <v>0.5</v>
      </c>
      <c r="I30">
        <v>0.5</v>
      </c>
      <c r="J30">
        <v>0.5</v>
      </c>
      <c r="K30">
        <v>0.5</v>
      </c>
      <c r="L30">
        <v>0.5</v>
      </c>
      <c r="M30">
        <v>0.5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s="151" t="s">
        <v>174</v>
      </c>
      <c r="B31">
        <v>2</v>
      </c>
      <c r="C31">
        <v>1.5</v>
      </c>
      <c r="D31">
        <v>1.5</v>
      </c>
      <c r="E31">
        <v>1.5</v>
      </c>
      <c r="F31">
        <v>1.5</v>
      </c>
      <c r="G31">
        <v>2</v>
      </c>
      <c r="H31">
        <v>1.5</v>
      </c>
      <c r="I31">
        <v>1</v>
      </c>
      <c r="J31">
        <v>1</v>
      </c>
      <c r="K31">
        <v>1</v>
      </c>
      <c r="L31">
        <v>1</v>
      </c>
      <c r="M31">
        <v>1</v>
      </c>
      <c r="N31">
        <v>0.5</v>
      </c>
      <c r="O31">
        <v>0.5</v>
      </c>
      <c r="P31">
        <v>1.5</v>
      </c>
      <c r="Q31">
        <v>1.5</v>
      </c>
      <c r="R31">
        <v>1.5</v>
      </c>
      <c r="S31">
        <v>1.5</v>
      </c>
      <c r="T31">
        <v>1.5</v>
      </c>
    </row>
    <row r="32" spans="1:20">
      <c r="A32" s="154" t="s">
        <v>139</v>
      </c>
      <c r="B32">
        <v>1</v>
      </c>
      <c r="C32">
        <v>0.5</v>
      </c>
      <c r="D32">
        <v>0.5</v>
      </c>
      <c r="E32">
        <v>0.5</v>
      </c>
      <c r="F32">
        <v>0.5</v>
      </c>
      <c r="G32">
        <v>0.5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s="154" t="s">
        <v>142</v>
      </c>
      <c r="B33">
        <v>0.5</v>
      </c>
      <c r="C33">
        <v>0.5</v>
      </c>
      <c r="D33">
        <v>0.5</v>
      </c>
      <c r="E33">
        <v>0.5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0.5</v>
      </c>
      <c r="O33">
        <v>0.5</v>
      </c>
      <c r="P33">
        <v>0.5</v>
      </c>
      <c r="Q33">
        <v>0.5</v>
      </c>
      <c r="R33">
        <v>0.5</v>
      </c>
      <c r="S33">
        <v>0.5</v>
      </c>
      <c r="T33">
        <v>0.5</v>
      </c>
    </row>
    <row r="34" spans="1:20">
      <c r="A34" s="154" t="s">
        <v>143</v>
      </c>
      <c r="B34">
        <v>0.5</v>
      </c>
      <c r="C34">
        <v>0.5</v>
      </c>
      <c r="D34">
        <v>0.5</v>
      </c>
      <c r="E34">
        <v>0.5</v>
      </c>
      <c r="F34">
        <v>0.5</v>
      </c>
      <c r="G34">
        <v>0.5</v>
      </c>
      <c r="H34">
        <v>0.5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s="154" t="s">
        <v>144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 s="151" t="s">
        <v>77</v>
      </c>
      <c r="B36">
        <v>1</v>
      </c>
      <c r="C36">
        <v>1</v>
      </c>
      <c r="D36">
        <v>0.5</v>
      </c>
      <c r="E36">
        <v>0.5</v>
      </c>
      <c r="F36">
        <v>0.5</v>
      </c>
      <c r="G36">
        <v>0.2</v>
      </c>
      <c r="H36">
        <v>0.2</v>
      </c>
      <c r="I36">
        <v>2.2000000000000002</v>
      </c>
      <c r="J36">
        <v>2.2000000000000002</v>
      </c>
      <c r="K36">
        <v>2.2000000000000002</v>
      </c>
      <c r="L36">
        <v>2.2000000000000002</v>
      </c>
      <c r="M36">
        <v>2.2000000000000002</v>
      </c>
      <c r="N36">
        <v>2.2000000000000002</v>
      </c>
      <c r="O36">
        <v>2.2000000000000002</v>
      </c>
      <c r="P36">
        <v>2</v>
      </c>
      <c r="Q36">
        <v>2</v>
      </c>
      <c r="R36">
        <v>2</v>
      </c>
      <c r="S36">
        <v>2</v>
      </c>
      <c r="T36">
        <v>2</v>
      </c>
    </row>
    <row r="37" spans="1:20">
      <c r="A37" s="154" t="s">
        <v>141</v>
      </c>
      <c r="B37">
        <v>1</v>
      </c>
      <c r="C37">
        <v>1</v>
      </c>
      <c r="D37">
        <v>0.5</v>
      </c>
      <c r="E37">
        <v>0.5</v>
      </c>
      <c r="F37">
        <v>0.5</v>
      </c>
      <c r="G37">
        <v>0.2</v>
      </c>
      <c r="H37">
        <v>0.2</v>
      </c>
      <c r="I37">
        <v>0.2</v>
      </c>
      <c r="J37">
        <v>0.2</v>
      </c>
      <c r="K37">
        <v>0.2</v>
      </c>
      <c r="L37">
        <v>0.2</v>
      </c>
      <c r="M37">
        <v>0.2</v>
      </c>
      <c r="N37">
        <v>0.2</v>
      </c>
      <c r="O37">
        <v>0.2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154" t="s">
        <v>149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</row>
    <row r="39" spans="1:20">
      <c r="A39" s="151" t="s">
        <v>175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s="137" customFormat="1">
      <c r="A40" s="154" t="s">
        <v>144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 s="150" t="s">
        <v>78</v>
      </c>
      <c r="B41">
        <v>3</v>
      </c>
      <c r="C41">
        <v>3.5</v>
      </c>
      <c r="D41">
        <v>3.5</v>
      </c>
      <c r="E41">
        <v>4</v>
      </c>
      <c r="F41">
        <v>4</v>
      </c>
      <c r="G41">
        <v>4</v>
      </c>
      <c r="H41">
        <v>3.5</v>
      </c>
      <c r="I41">
        <v>4</v>
      </c>
      <c r="J41">
        <v>4</v>
      </c>
      <c r="K41">
        <v>4</v>
      </c>
      <c r="L41">
        <v>5</v>
      </c>
      <c r="M41">
        <v>4.5</v>
      </c>
      <c r="N41">
        <v>4.5</v>
      </c>
      <c r="O41">
        <v>4.5</v>
      </c>
      <c r="P41">
        <v>4</v>
      </c>
      <c r="Q41">
        <v>3</v>
      </c>
      <c r="R41">
        <v>3</v>
      </c>
      <c r="S41">
        <v>3</v>
      </c>
      <c r="T41">
        <v>3</v>
      </c>
    </row>
    <row r="42" spans="1:20">
      <c r="A42" s="151" t="s">
        <v>176</v>
      </c>
      <c r="B42">
        <v>1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</v>
      </c>
      <c r="R42">
        <v>1</v>
      </c>
      <c r="S42">
        <v>1</v>
      </c>
      <c r="T42">
        <v>1</v>
      </c>
    </row>
    <row r="43" spans="1:20">
      <c r="A43" s="154" t="s">
        <v>142</v>
      </c>
      <c r="B43">
        <v>1</v>
      </c>
      <c r="C43">
        <v>1</v>
      </c>
      <c r="D43">
        <v>0.9</v>
      </c>
      <c r="E43">
        <v>0.7</v>
      </c>
      <c r="F43">
        <v>0.5</v>
      </c>
      <c r="G43">
        <v>0.5</v>
      </c>
      <c r="H43">
        <v>0.5</v>
      </c>
      <c r="I43">
        <v>0.5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</row>
    <row r="44" spans="1:20">
      <c r="A44" s="154" t="s">
        <v>143</v>
      </c>
      <c r="B44">
        <v>0</v>
      </c>
      <c r="C44">
        <v>0.5</v>
      </c>
      <c r="D44">
        <v>0.5</v>
      </c>
      <c r="E44">
        <v>0.5</v>
      </c>
      <c r="F44">
        <v>0.5</v>
      </c>
      <c r="G44">
        <v>0.5</v>
      </c>
      <c r="H44">
        <v>0.5</v>
      </c>
      <c r="I44">
        <v>0.5</v>
      </c>
      <c r="J44">
        <v>0.5</v>
      </c>
      <c r="K44">
        <v>0.5</v>
      </c>
      <c r="L44">
        <v>0.5</v>
      </c>
      <c r="M44">
        <v>0.5</v>
      </c>
      <c r="N44">
        <v>0.5</v>
      </c>
      <c r="O44">
        <v>0.5</v>
      </c>
      <c r="P44">
        <v>0.5</v>
      </c>
      <c r="Q44">
        <v>0</v>
      </c>
      <c r="R44">
        <v>0</v>
      </c>
      <c r="S44">
        <v>0</v>
      </c>
      <c r="T44">
        <v>0</v>
      </c>
    </row>
    <row r="45" spans="1:20">
      <c r="A45" s="154" t="s">
        <v>145</v>
      </c>
      <c r="B45">
        <v>0</v>
      </c>
      <c r="C45">
        <v>0</v>
      </c>
      <c r="D45">
        <v>0.1</v>
      </c>
      <c r="E45">
        <v>0.3</v>
      </c>
      <c r="F45">
        <v>0.5</v>
      </c>
      <c r="G45">
        <v>0.5</v>
      </c>
      <c r="H45">
        <v>0.5</v>
      </c>
      <c r="I45">
        <v>0.5</v>
      </c>
      <c r="J45">
        <v>0.5</v>
      </c>
      <c r="K45">
        <v>0.5</v>
      </c>
      <c r="L45">
        <v>0.5</v>
      </c>
      <c r="M45">
        <v>0.5</v>
      </c>
      <c r="N45">
        <v>0.5</v>
      </c>
      <c r="O45">
        <v>0.5</v>
      </c>
      <c r="P45">
        <v>0.5</v>
      </c>
      <c r="Q45">
        <v>0.5</v>
      </c>
      <c r="R45">
        <v>0.5</v>
      </c>
      <c r="S45">
        <v>0.5</v>
      </c>
      <c r="T45">
        <v>0.5</v>
      </c>
    </row>
    <row r="46" spans="1:20">
      <c r="A46" s="151" t="s">
        <v>177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2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 s="154" t="s">
        <v>143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s="154" t="s">
        <v>144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>
      <c r="A49" s="151" t="s">
        <v>178</v>
      </c>
      <c r="B49">
        <v>1</v>
      </c>
      <c r="C49">
        <v>1</v>
      </c>
      <c r="D49">
        <v>1</v>
      </c>
      <c r="E49">
        <v>1.5</v>
      </c>
      <c r="F49">
        <v>1.5</v>
      </c>
      <c r="G49">
        <v>1.5</v>
      </c>
      <c r="H49">
        <v>1</v>
      </c>
      <c r="I49">
        <v>0.5</v>
      </c>
      <c r="J49">
        <v>0.5</v>
      </c>
      <c r="K49">
        <v>0.5</v>
      </c>
      <c r="L49">
        <v>1</v>
      </c>
      <c r="M49">
        <v>1.5</v>
      </c>
      <c r="N49">
        <v>1.5</v>
      </c>
      <c r="O49">
        <v>1.5</v>
      </c>
      <c r="P49">
        <v>1</v>
      </c>
      <c r="Q49">
        <v>0.5</v>
      </c>
      <c r="R49">
        <v>0.5</v>
      </c>
      <c r="S49">
        <v>0.5</v>
      </c>
      <c r="T49">
        <v>0.5</v>
      </c>
    </row>
    <row r="50" spans="1:20">
      <c r="A50" s="154" t="s">
        <v>139</v>
      </c>
      <c r="B50">
        <v>0.5</v>
      </c>
      <c r="C50">
        <v>0.5</v>
      </c>
      <c r="D50">
        <v>0.5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s="154" t="s">
        <v>140</v>
      </c>
      <c r="B51">
        <v>0</v>
      </c>
      <c r="C51">
        <v>0</v>
      </c>
      <c r="D51">
        <v>0</v>
      </c>
      <c r="E51">
        <v>0</v>
      </c>
      <c r="F51">
        <v>0.5</v>
      </c>
      <c r="G51">
        <v>0.5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s="154" t="s">
        <v>141</v>
      </c>
      <c r="B52">
        <v>0.5</v>
      </c>
      <c r="C52">
        <v>0.5</v>
      </c>
      <c r="D52">
        <v>0.5</v>
      </c>
      <c r="E52">
        <v>0.5</v>
      </c>
      <c r="F52">
        <v>0.5</v>
      </c>
      <c r="G52">
        <v>0.5</v>
      </c>
      <c r="H52">
        <v>0.5</v>
      </c>
      <c r="I52">
        <v>0.5</v>
      </c>
      <c r="J52">
        <v>0.5</v>
      </c>
      <c r="K52">
        <v>0.5</v>
      </c>
      <c r="L52">
        <v>0.5</v>
      </c>
      <c r="M52">
        <v>0.5</v>
      </c>
      <c r="N52">
        <v>0.5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s="154" t="s">
        <v>143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</v>
      </c>
      <c r="N53">
        <v>0.5</v>
      </c>
      <c r="O53">
        <v>0.5</v>
      </c>
      <c r="P53">
        <v>0.5</v>
      </c>
      <c r="Q53">
        <v>0</v>
      </c>
      <c r="R53">
        <v>0</v>
      </c>
      <c r="S53">
        <v>0</v>
      </c>
      <c r="T53">
        <v>0</v>
      </c>
    </row>
    <row r="54" spans="1:20">
      <c r="A54" s="154" t="s">
        <v>144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</v>
      </c>
      <c r="M54">
        <v>0.5</v>
      </c>
      <c r="N54">
        <v>0.5</v>
      </c>
      <c r="O54">
        <v>0.5</v>
      </c>
      <c r="P54">
        <v>0.5</v>
      </c>
      <c r="Q54">
        <v>0.5</v>
      </c>
      <c r="R54">
        <v>0.5</v>
      </c>
      <c r="S54">
        <v>0.5</v>
      </c>
      <c r="T54">
        <v>0.5</v>
      </c>
    </row>
    <row r="55" spans="1:20">
      <c r="A55" s="154" t="s">
        <v>146</v>
      </c>
      <c r="B55">
        <v>0</v>
      </c>
      <c r="C55">
        <v>0</v>
      </c>
      <c r="D55">
        <v>0</v>
      </c>
      <c r="E55">
        <v>0.5</v>
      </c>
      <c r="F55">
        <v>0.5</v>
      </c>
      <c r="G55">
        <v>0.5</v>
      </c>
      <c r="H55">
        <v>0.5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s="151" t="s">
        <v>78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0.5</v>
      </c>
    </row>
    <row r="57" spans="1:20">
      <c r="A57" s="154" t="s">
        <v>149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0.5</v>
      </c>
    </row>
    <row r="58" spans="1:20">
      <c r="A58" s="6" t="s">
        <v>179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s="150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s="151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s="6" t="s">
        <v>180</v>
      </c>
      <c r="B61">
        <v>7</v>
      </c>
      <c r="C61">
        <v>7</v>
      </c>
      <c r="D61">
        <v>6</v>
      </c>
      <c r="E61">
        <v>5</v>
      </c>
      <c r="F61">
        <v>4</v>
      </c>
      <c r="G61">
        <v>5.4</v>
      </c>
      <c r="H61">
        <v>6</v>
      </c>
      <c r="I61">
        <v>5</v>
      </c>
      <c r="J61">
        <v>4.4000000000000004</v>
      </c>
      <c r="K61">
        <v>4.4000000000000004</v>
      </c>
      <c r="L61">
        <v>4</v>
      </c>
      <c r="M61">
        <v>4</v>
      </c>
      <c r="N61">
        <v>4</v>
      </c>
      <c r="O61">
        <v>4</v>
      </c>
      <c r="P61">
        <v>4.5</v>
      </c>
      <c r="Q61">
        <v>4</v>
      </c>
      <c r="R61">
        <v>4</v>
      </c>
      <c r="S61">
        <v>4</v>
      </c>
      <c r="T61">
        <v>4</v>
      </c>
    </row>
    <row r="62" spans="1:20">
      <c r="A62" s="150" t="s">
        <v>72</v>
      </c>
      <c r="B62">
        <v>2</v>
      </c>
      <c r="C62">
        <v>2</v>
      </c>
      <c r="D62">
        <v>2</v>
      </c>
      <c r="E62">
        <v>1.5</v>
      </c>
      <c r="F62">
        <v>1.5</v>
      </c>
      <c r="G62">
        <v>1.7</v>
      </c>
      <c r="H62">
        <v>2</v>
      </c>
      <c r="I62">
        <v>1.5</v>
      </c>
      <c r="J62">
        <v>1.2</v>
      </c>
      <c r="K62">
        <v>1.2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 s="151" t="s">
        <v>181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</row>
    <row r="64" spans="1:20">
      <c r="A64" s="151" t="s">
        <v>182</v>
      </c>
      <c r="B64">
        <v>1</v>
      </c>
      <c r="C64">
        <v>1</v>
      </c>
      <c r="D64">
        <v>1</v>
      </c>
      <c r="E64">
        <v>0.5</v>
      </c>
      <c r="F64">
        <v>0.5</v>
      </c>
      <c r="G64">
        <v>0.7</v>
      </c>
      <c r="H64">
        <v>1</v>
      </c>
      <c r="I64">
        <v>0.5</v>
      </c>
      <c r="J64">
        <v>0.2</v>
      </c>
      <c r="K64">
        <v>0.2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s="150" t="s">
        <v>71</v>
      </c>
      <c r="B65">
        <v>3</v>
      </c>
      <c r="C65">
        <v>3</v>
      </c>
      <c r="D65">
        <v>2</v>
      </c>
      <c r="E65">
        <v>2</v>
      </c>
      <c r="F65">
        <v>2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3.5</v>
      </c>
      <c r="Q65">
        <v>3</v>
      </c>
      <c r="R65">
        <v>3</v>
      </c>
      <c r="S65">
        <v>3</v>
      </c>
      <c r="T65">
        <v>3</v>
      </c>
    </row>
    <row r="66" spans="1:20">
      <c r="A66" s="151" t="s">
        <v>183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1.5</v>
      </c>
      <c r="Q66">
        <v>1</v>
      </c>
      <c r="R66">
        <v>1</v>
      </c>
      <c r="S66">
        <v>1</v>
      </c>
      <c r="T66">
        <v>1</v>
      </c>
    </row>
    <row r="67" spans="1:20">
      <c r="A67" s="151" t="s">
        <v>184</v>
      </c>
      <c r="B67">
        <v>1</v>
      </c>
      <c r="C67">
        <v>1</v>
      </c>
      <c r="D67">
        <v>0.5</v>
      </c>
      <c r="E67">
        <v>0.5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>
      <c r="A68" s="151" t="s">
        <v>185</v>
      </c>
      <c r="B68">
        <v>1</v>
      </c>
      <c r="C68">
        <v>1</v>
      </c>
      <c r="D68">
        <v>0.5</v>
      </c>
      <c r="E68">
        <v>0.5</v>
      </c>
      <c r="F68">
        <v>0.5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>
      <c r="A69" s="150" t="s">
        <v>130</v>
      </c>
      <c r="B69">
        <v>1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 s="153" t="s">
        <v>186</v>
      </c>
      <c r="B70" s="137">
        <v>1</v>
      </c>
      <c r="C70" s="137">
        <v>1</v>
      </c>
      <c r="D70" s="137">
        <v>1</v>
      </c>
      <c r="E70" s="137">
        <v>1</v>
      </c>
      <c r="F70" s="137">
        <v>0</v>
      </c>
      <c r="G70" s="137">
        <v>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37">
        <v>0</v>
      </c>
      <c r="S70" s="137">
        <v>0</v>
      </c>
      <c r="T70" s="137">
        <v>0</v>
      </c>
    </row>
    <row r="71" spans="1:20">
      <c r="A71" s="150" t="s">
        <v>70</v>
      </c>
      <c r="B71">
        <v>1</v>
      </c>
      <c r="C71">
        <v>1</v>
      </c>
      <c r="D71">
        <v>1</v>
      </c>
      <c r="E71">
        <v>0.5</v>
      </c>
      <c r="F71">
        <v>0.5</v>
      </c>
      <c r="G71">
        <v>0.7</v>
      </c>
      <c r="H71">
        <v>1</v>
      </c>
      <c r="I71">
        <v>0.5</v>
      </c>
      <c r="J71">
        <v>0.2</v>
      </c>
      <c r="K71">
        <v>0.2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s="151" t="s">
        <v>187</v>
      </c>
      <c r="B72">
        <v>1</v>
      </c>
      <c r="C72">
        <v>1</v>
      </c>
      <c r="D72">
        <v>1</v>
      </c>
      <c r="E72">
        <v>0.5</v>
      </c>
      <c r="F72">
        <v>0.5</v>
      </c>
      <c r="G72">
        <v>0.7</v>
      </c>
      <c r="H72">
        <v>1</v>
      </c>
      <c r="I72">
        <v>0.5</v>
      </c>
      <c r="J72">
        <v>0.2</v>
      </c>
      <c r="K72">
        <v>0.2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s="6" t="s">
        <v>188</v>
      </c>
      <c r="B73">
        <v>6</v>
      </c>
      <c r="C73">
        <v>6</v>
      </c>
      <c r="D73">
        <v>6</v>
      </c>
      <c r="E73">
        <v>6.5</v>
      </c>
      <c r="F73">
        <v>7</v>
      </c>
      <c r="G73">
        <v>7</v>
      </c>
      <c r="H73">
        <v>7</v>
      </c>
      <c r="I73">
        <v>6</v>
      </c>
      <c r="J73">
        <v>6</v>
      </c>
      <c r="K73">
        <v>6</v>
      </c>
      <c r="L73">
        <v>6</v>
      </c>
      <c r="M73">
        <v>6</v>
      </c>
      <c r="N73">
        <v>6</v>
      </c>
      <c r="O73">
        <v>6</v>
      </c>
      <c r="P73">
        <v>4</v>
      </c>
      <c r="Q73">
        <v>4</v>
      </c>
      <c r="R73">
        <v>4</v>
      </c>
      <c r="S73">
        <v>4</v>
      </c>
      <c r="T73">
        <v>4</v>
      </c>
    </row>
    <row r="74" spans="1:20">
      <c r="A74" s="150" t="s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 spans="1:20">
      <c r="A75" s="151" t="s">
        <v>189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 spans="1:20">
      <c r="A76" s="150" t="s">
        <v>71</v>
      </c>
      <c r="B76">
        <v>3</v>
      </c>
      <c r="C76">
        <v>3</v>
      </c>
      <c r="D76">
        <v>3</v>
      </c>
      <c r="E76">
        <v>3.5</v>
      </c>
      <c r="F76">
        <v>4</v>
      </c>
      <c r="G76">
        <v>4</v>
      </c>
      <c r="H76">
        <v>4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2</v>
      </c>
      <c r="Q76">
        <v>2</v>
      </c>
      <c r="R76">
        <v>2</v>
      </c>
      <c r="S76">
        <v>2</v>
      </c>
      <c r="T76">
        <v>2</v>
      </c>
    </row>
    <row r="77" spans="1:20">
      <c r="A77" s="151" t="s">
        <v>190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>
      <c r="A78" s="154" t="s">
        <v>140</v>
      </c>
      <c r="B78">
        <v>0</v>
      </c>
      <c r="C78">
        <v>0</v>
      </c>
      <c r="D78">
        <v>0</v>
      </c>
      <c r="E78">
        <v>0</v>
      </c>
      <c r="F78">
        <v>0.5</v>
      </c>
      <c r="G78">
        <v>0.5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s="154" t="s">
        <v>143</v>
      </c>
      <c r="B79">
        <v>1</v>
      </c>
      <c r="C79">
        <v>1</v>
      </c>
      <c r="D79">
        <v>0.6</v>
      </c>
      <c r="E79">
        <v>0.6</v>
      </c>
      <c r="F79">
        <v>0.5</v>
      </c>
      <c r="G79">
        <v>0.5</v>
      </c>
      <c r="H79">
        <v>0.6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s="154" t="s">
        <v>144</v>
      </c>
      <c r="B80">
        <v>0</v>
      </c>
      <c r="C80">
        <v>0</v>
      </c>
      <c r="D80">
        <v>0.4</v>
      </c>
      <c r="E80">
        <v>0.4</v>
      </c>
      <c r="F80">
        <v>0</v>
      </c>
      <c r="G80">
        <v>0</v>
      </c>
      <c r="H80">
        <v>0.4</v>
      </c>
      <c r="I80">
        <v>0.5</v>
      </c>
      <c r="J80">
        <v>0.5</v>
      </c>
      <c r="K80">
        <v>0.5</v>
      </c>
      <c r="L80">
        <v>0.5</v>
      </c>
      <c r="M80">
        <v>0.5</v>
      </c>
      <c r="N80">
        <v>0.5</v>
      </c>
      <c r="O80">
        <v>0.5</v>
      </c>
      <c r="P80">
        <v>0.5</v>
      </c>
      <c r="Q80">
        <v>0.5</v>
      </c>
      <c r="R80">
        <v>0.5</v>
      </c>
      <c r="S80">
        <v>0.5</v>
      </c>
      <c r="T80">
        <v>0.5</v>
      </c>
    </row>
    <row r="81" spans="1:20">
      <c r="A81" s="154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0.5</v>
      </c>
      <c r="J81">
        <v>0.5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0.5</v>
      </c>
      <c r="Q81">
        <v>0.5</v>
      </c>
      <c r="R81">
        <v>0.5</v>
      </c>
      <c r="S81">
        <v>0.5</v>
      </c>
      <c r="T81">
        <v>0.5</v>
      </c>
    </row>
    <row r="82" spans="1:20">
      <c r="A82" s="151" t="s">
        <v>191</v>
      </c>
      <c r="B82">
        <v>1</v>
      </c>
      <c r="C82">
        <v>1</v>
      </c>
      <c r="D82">
        <v>1</v>
      </c>
      <c r="E82">
        <v>0.5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s="151" t="s">
        <v>192</v>
      </c>
      <c r="B83">
        <v>0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>
      <c r="A84" s="151" t="s">
        <v>193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 s="154" t="s">
        <v>141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 s="150" t="s">
        <v>70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1</v>
      </c>
      <c r="Q86">
        <v>1</v>
      </c>
      <c r="R86">
        <v>1</v>
      </c>
      <c r="S86">
        <v>1</v>
      </c>
      <c r="T86">
        <v>1</v>
      </c>
    </row>
    <row r="87" spans="1:20">
      <c r="A87" s="151" t="s">
        <v>194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 s="151" t="s">
        <v>195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</row>
    <row r="89" spans="1:20">
      <c r="A89" s="6" t="s">
        <v>196</v>
      </c>
      <c r="B89">
        <v>6.1</v>
      </c>
      <c r="C89">
        <v>7</v>
      </c>
      <c r="D89">
        <v>7</v>
      </c>
      <c r="E89">
        <v>6</v>
      </c>
      <c r="F89">
        <v>7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7</v>
      </c>
      <c r="N89">
        <v>7</v>
      </c>
      <c r="O89">
        <v>7</v>
      </c>
      <c r="P89">
        <v>5.8000000000000007</v>
      </c>
      <c r="Q89">
        <v>3.5</v>
      </c>
      <c r="R89">
        <v>3.5</v>
      </c>
      <c r="S89">
        <v>3.5</v>
      </c>
      <c r="T89">
        <v>3.5</v>
      </c>
    </row>
    <row r="90" spans="1:20">
      <c r="A90" s="150" t="s">
        <v>72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1.6</v>
      </c>
      <c r="Q90">
        <v>1</v>
      </c>
      <c r="R90">
        <v>1</v>
      </c>
      <c r="S90">
        <v>1</v>
      </c>
      <c r="T90">
        <v>1</v>
      </c>
    </row>
    <row r="91" spans="1:20">
      <c r="A91" s="151" t="s">
        <v>197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1.6</v>
      </c>
      <c r="Q91">
        <v>1</v>
      </c>
      <c r="R91">
        <v>1</v>
      </c>
      <c r="S91">
        <v>1</v>
      </c>
      <c r="T91">
        <v>1</v>
      </c>
    </row>
    <row r="92" spans="1:20">
      <c r="A92" s="150" t="s">
        <v>71</v>
      </c>
      <c r="B92">
        <v>3</v>
      </c>
      <c r="C92">
        <v>3</v>
      </c>
      <c r="D92">
        <v>3</v>
      </c>
      <c r="E92">
        <v>2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1.2</v>
      </c>
      <c r="Q92">
        <v>0</v>
      </c>
      <c r="R92">
        <v>0</v>
      </c>
      <c r="S92">
        <v>0</v>
      </c>
      <c r="T92">
        <v>0</v>
      </c>
    </row>
    <row r="93" spans="1:20">
      <c r="A93" s="151" t="s">
        <v>198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0.6</v>
      </c>
      <c r="Q93">
        <v>0</v>
      </c>
      <c r="R93">
        <v>0</v>
      </c>
      <c r="S93">
        <v>0</v>
      </c>
      <c r="T93">
        <v>0</v>
      </c>
    </row>
    <row r="94" spans="1:20">
      <c r="A94" s="151" t="s">
        <v>199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0.6</v>
      </c>
      <c r="Q94">
        <v>0</v>
      </c>
      <c r="R94">
        <v>0</v>
      </c>
      <c r="S94">
        <v>0</v>
      </c>
      <c r="T94">
        <v>0</v>
      </c>
    </row>
    <row r="95" spans="1:20">
      <c r="A95" s="151" t="s">
        <v>200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 s="150" t="s">
        <v>70</v>
      </c>
      <c r="B96">
        <v>2.1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2.5</v>
      </c>
      <c r="R96">
        <v>2.5</v>
      </c>
      <c r="S96">
        <v>2.5</v>
      </c>
      <c r="T96">
        <v>2.5</v>
      </c>
    </row>
    <row r="97" spans="1:20">
      <c r="A97" s="151" t="s">
        <v>201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>
      <c r="A98" s="151" t="s">
        <v>202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0.5</v>
      </c>
      <c r="R98">
        <v>0.5</v>
      </c>
      <c r="S98">
        <v>0.5</v>
      </c>
      <c r="T98">
        <v>0.5</v>
      </c>
    </row>
    <row r="99" spans="1:20">
      <c r="A99" s="151" t="s">
        <v>203</v>
      </c>
      <c r="B99">
        <v>0.1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</row>
    <row r="100" spans="1:20">
      <c r="A100" s="6" t="s">
        <v>123</v>
      </c>
      <c r="B100">
        <v>45.199999999999996</v>
      </c>
      <c r="C100">
        <v>50.1</v>
      </c>
      <c r="D100">
        <v>50.5</v>
      </c>
      <c r="E100">
        <v>48.7</v>
      </c>
      <c r="F100">
        <v>47.900000000000006</v>
      </c>
      <c r="G100">
        <v>48.7</v>
      </c>
      <c r="H100">
        <v>50.7</v>
      </c>
      <c r="I100">
        <v>50.9</v>
      </c>
      <c r="J100">
        <v>50</v>
      </c>
      <c r="K100">
        <v>49.7</v>
      </c>
      <c r="L100">
        <v>48.7</v>
      </c>
      <c r="M100">
        <v>48.2</v>
      </c>
      <c r="N100">
        <v>47.399999999999991</v>
      </c>
      <c r="O100">
        <v>48.399999999999991</v>
      </c>
      <c r="P100">
        <v>42.2</v>
      </c>
      <c r="Q100">
        <v>35.5</v>
      </c>
      <c r="R100">
        <v>35.5</v>
      </c>
      <c r="S100">
        <v>35.5</v>
      </c>
      <c r="T100">
        <v>35.5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9494-51BC-44E7-9A9A-1DA2D277203D}">
  <sheetPr>
    <tabColor rgb="FFFFC000"/>
  </sheetPr>
  <dimension ref="B1:H24"/>
  <sheetViews>
    <sheetView zoomScale="130" zoomScaleNormal="130" workbookViewId="0">
      <pane ySplit="3" topLeftCell="A4" activePane="bottomLeft" state="frozen"/>
      <selection pane="bottomLeft" activeCell="M24" sqref="M24"/>
    </sheetView>
  </sheetViews>
  <sheetFormatPr defaultColWidth="9" defaultRowHeight="16.5"/>
  <cols>
    <col min="1" max="1" width="4.5" style="41" customWidth="1"/>
    <col min="2" max="2" width="26.125" style="41" bestFit="1" customWidth="1"/>
    <col min="3" max="3" width="8.625" style="41" bestFit="1" customWidth="1"/>
    <col min="4" max="4" width="10.625" style="41" bestFit="1" customWidth="1"/>
    <col min="5" max="5" width="14.125" style="41" bestFit="1" customWidth="1"/>
    <col min="6" max="6" width="24.625" style="41" bestFit="1" customWidth="1"/>
    <col min="7" max="16384" width="9" style="41"/>
  </cols>
  <sheetData>
    <row r="1" spans="2:7">
      <c r="B1" s="106" t="s">
        <v>204</v>
      </c>
      <c r="C1" s="106"/>
      <c r="D1" s="107" t="s">
        <v>205</v>
      </c>
      <c r="E1" s="108">
        <v>45909</v>
      </c>
    </row>
    <row r="3" spans="2:7">
      <c r="B3" s="109" t="s">
        <v>59</v>
      </c>
      <c r="C3" s="110" t="s">
        <v>206</v>
      </c>
      <c r="D3" s="110" t="s">
        <v>207</v>
      </c>
      <c r="E3" s="111" t="s">
        <v>208</v>
      </c>
      <c r="G3" s="46" t="s">
        <v>209</v>
      </c>
    </row>
    <row r="4" spans="2:7">
      <c r="B4" s="112" t="s">
        <v>137</v>
      </c>
      <c r="C4" s="113">
        <v>407060</v>
      </c>
      <c r="D4" s="114" t="s">
        <v>159</v>
      </c>
      <c r="E4" s="114" t="s">
        <v>210</v>
      </c>
      <c r="G4" s="41" t="s">
        <v>211</v>
      </c>
    </row>
    <row r="5" spans="2:7">
      <c r="B5" s="112" t="s">
        <v>138</v>
      </c>
      <c r="C5" s="113">
        <v>407078</v>
      </c>
      <c r="D5" s="114" t="s">
        <v>159</v>
      </c>
      <c r="E5" s="114" t="s">
        <v>212</v>
      </c>
      <c r="G5" s="41" t="s">
        <v>213</v>
      </c>
    </row>
    <row r="6" spans="2:7">
      <c r="B6" s="112" t="s">
        <v>139</v>
      </c>
      <c r="C6" s="115">
        <v>406399</v>
      </c>
      <c r="D6" s="114" t="s">
        <v>159</v>
      </c>
      <c r="E6" s="114" t="s">
        <v>159</v>
      </c>
    </row>
    <row r="7" spans="2:7">
      <c r="B7" s="112" t="s">
        <v>140</v>
      </c>
      <c r="C7" s="115">
        <v>406403</v>
      </c>
      <c r="D7" s="114" t="s">
        <v>159</v>
      </c>
      <c r="E7" s="114" t="s">
        <v>159</v>
      </c>
    </row>
    <row r="8" spans="2:7">
      <c r="B8" s="112" t="s">
        <v>141</v>
      </c>
      <c r="C8" s="113">
        <v>406886</v>
      </c>
      <c r="D8" s="114" t="s">
        <v>159</v>
      </c>
      <c r="E8" s="114" t="s">
        <v>159</v>
      </c>
    </row>
    <row r="9" spans="2:7">
      <c r="B9" s="112" t="s">
        <v>214</v>
      </c>
      <c r="C9" s="113">
        <v>407057</v>
      </c>
      <c r="D9" s="114" t="s">
        <v>159</v>
      </c>
      <c r="E9" s="114" t="s">
        <v>210</v>
      </c>
    </row>
    <row r="10" spans="2:7">
      <c r="B10" s="112" t="s">
        <v>142</v>
      </c>
      <c r="C10" s="113">
        <v>406442</v>
      </c>
      <c r="D10" s="114" t="s">
        <v>159</v>
      </c>
      <c r="E10" s="114" t="s">
        <v>215</v>
      </c>
    </row>
    <row r="11" spans="2:7">
      <c r="B11" s="112" t="s">
        <v>143</v>
      </c>
      <c r="C11" s="115" t="s">
        <v>216</v>
      </c>
      <c r="D11" s="114" t="s">
        <v>159</v>
      </c>
      <c r="E11" s="114" t="s">
        <v>159</v>
      </c>
    </row>
    <row r="12" spans="2:7">
      <c r="B12" s="116" t="s">
        <v>217</v>
      </c>
      <c r="C12" s="115">
        <v>406372</v>
      </c>
      <c r="D12" s="114" t="s">
        <v>215</v>
      </c>
      <c r="E12" s="114" t="s">
        <v>218</v>
      </c>
    </row>
    <row r="13" spans="2:7">
      <c r="B13" s="112" t="s">
        <v>144</v>
      </c>
      <c r="C13" s="114">
        <v>407039</v>
      </c>
      <c r="D13" s="114" t="s">
        <v>159</v>
      </c>
      <c r="E13" s="114" t="s">
        <v>159</v>
      </c>
    </row>
    <row r="14" spans="2:7">
      <c r="B14" s="112" t="s">
        <v>145</v>
      </c>
      <c r="C14" s="114">
        <v>407053</v>
      </c>
      <c r="D14" s="114" t="s">
        <v>159</v>
      </c>
      <c r="E14" s="114" t="s">
        <v>212</v>
      </c>
    </row>
    <row r="15" spans="2:7">
      <c r="B15" s="112" t="s">
        <v>219</v>
      </c>
      <c r="C15" s="117" t="s">
        <v>220</v>
      </c>
      <c r="D15" s="114" t="s">
        <v>221</v>
      </c>
      <c r="E15" s="114" t="s">
        <v>210</v>
      </c>
    </row>
    <row r="16" spans="2:7">
      <c r="B16" s="118" t="s">
        <v>222</v>
      </c>
      <c r="C16" s="119" t="s">
        <v>220</v>
      </c>
      <c r="D16" s="120" t="s">
        <v>223</v>
      </c>
      <c r="E16" s="120" t="s">
        <v>210</v>
      </c>
    </row>
    <row r="17" spans="2:8">
      <c r="B17" s="118" t="s">
        <v>224</v>
      </c>
      <c r="C17" s="119" t="s">
        <v>220</v>
      </c>
      <c r="D17" s="120" t="s">
        <v>223</v>
      </c>
      <c r="E17" s="120" t="s">
        <v>225</v>
      </c>
    </row>
    <row r="18" spans="2:8">
      <c r="B18" s="121" t="s">
        <v>148</v>
      </c>
      <c r="C18" s="122" t="s">
        <v>220</v>
      </c>
      <c r="D18" s="120" t="s">
        <v>226</v>
      </c>
      <c r="E18" s="123" t="s">
        <v>210</v>
      </c>
    </row>
    <row r="19" spans="2:8">
      <c r="B19" s="116" t="s">
        <v>149</v>
      </c>
      <c r="C19" s="142" t="s">
        <v>220</v>
      </c>
      <c r="D19" s="16" t="s">
        <v>159</v>
      </c>
      <c r="E19" s="16" t="s">
        <v>159</v>
      </c>
      <c r="G19" s="46" t="s">
        <v>227</v>
      </c>
    </row>
    <row r="20" spans="2:8">
      <c r="B20" s="112" t="s">
        <v>228</v>
      </c>
      <c r="C20" s="114">
        <v>407110</v>
      </c>
      <c r="D20" s="114" t="s">
        <v>221</v>
      </c>
      <c r="E20" s="114" t="s">
        <v>221</v>
      </c>
      <c r="F20" s="41" t="s">
        <v>229</v>
      </c>
      <c r="G20" s="46" t="s">
        <v>230</v>
      </c>
      <c r="H20" s="41" t="s">
        <v>231</v>
      </c>
    </row>
    <row r="21" spans="2:8">
      <c r="B21" s="136" t="s">
        <v>146</v>
      </c>
      <c r="C21" s="115">
        <v>407140</v>
      </c>
      <c r="D21" s="114" t="s">
        <v>159</v>
      </c>
      <c r="E21" s="114" t="s">
        <v>232</v>
      </c>
      <c r="G21" s="46" t="s">
        <v>215</v>
      </c>
      <c r="H21" s="41" t="s">
        <v>233</v>
      </c>
    </row>
    <row r="22" spans="2:8">
      <c r="B22" s="41" t="s">
        <v>234</v>
      </c>
      <c r="C22" s="115">
        <v>407057</v>
      </c>
      <c r="D22" s="114" t="s">
        <v>159</v>
      </c>
      <c r="E22" s="120" t="s">
        <v>225</v>
      </c>
      <c r="G22" s="46" t="s">
        <v>226</v>
      </c>
      <c r="H22" s="41" t="s">
        <v>235</v>
      </c>
    </row>
    <row r="23" spans="2:8">
      <c r="B23" s="41" t="s">
        <v>147</v>
      </c>
      <c r="C23" s="115">
        <v>407154</v>
      </c>
      <c r="D23" s="16" t="s">
        <v>159</v>
      </c>
      <c r="E23" s="16" t="s">
        <v>159</v>
      </c>
      <c r="G23" s="46" t="s">
        <v>236</v>
      </c>
      <c r="H23" s="41" t="s">
        <v>237</v>
      </c>
    </row>
    <row r="24" spans="2:8">
      <c r="G24" s="46"/>
    </row>
  </sheetData>
  <autoFilter ref="B3:D3" xr:uid="{71269494-51BC-44E7-9A9A-1DA2D277203D}">
    <sortState xmlns:xlrd2="http://schemas.microsoft.com/office/spreadsheetml/2017/richdata2" ref="B4:D19">
      <sortCondition ref="D3"/>
    </sortState>
  </autoFilter>
  <phoneticPr fontId="1" type="noConversion"/>
  <conditionalFormatting sqref="B3:D3">
    <cfRule type="cellIs" dxfId="3" priority="1" operator="equal">
      <formula>"Closed"</formula>
    </cfRule>
    <cfRule type="cellIs" dxfId="2" priority="2" operator="equal">
      <formula>"Potential"</formula>
    </cfRule>
    <cfRule type="cellIs" dxfId="1" priority="3" operator="equal">
      <formula>"Plan"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077D-550F-4952-A5C2-991BBB3E6E79}">
  <sheetPr>
    <tabColor theme="1"/>
  </sheetPr>
  <dimension ref="A1:AZ82"/>
  <sheetViews>
    <sheetView zoomScale="115" zoomScaleNormal="115" workbookViewId="0">
      <pane xSplit="7" ySplit="2" topLeftCell="W32" activePane="bottomRight" state="frozen"/>
      <selection pane="bottomRight" activeCell="D44" sqref="D44"/>
      <selection pane="bottomLeft" activeCell="A3" sqref="A3"/>
      <selection pane="topRight" activeCell="H1" sqref="H1"/>
    </sheetView>
  </sheetViews>
  <sheetFormatPr defaultRowHeight="16.5" outlineLevelCol="1"/>
  <cols>
    <col min="1" max="1" width="5.5" customWidth="1"/>
    <col min="2" max="2" width="6.125" bestFit="1" customWidth="1"/>
    <col min="3" max="3" width="14.625" customWidth="1"/>
    <col min="4" max="4" width="19.5" customWidth="1"/>
    <col min="5" max="5" width="20.625" customWidth="1"/>
    <col min="6" max="6" width="21.125" bestFit="1" customWidth="1"/>
    <col min="7" max="7" width="20.625" customWidth="1"/>
    <col min="8" max="16" width="9" outlineLevel="1"/>
  </cols>
  <sheetData>
    <row r="1" spans="1:52" ht="27" customHeight="1">
      <c r="A1" s="21"/>
      <c r="B1" s="26" t="s">
        <v>238</v>
      </c>
      <c r="C1" s="21"/>
      <c r="D1" s="22"/>
      <c r="E1" s="22"/>
      <c r="F1" s="22"/>
      <c r="G1" s="22"/>
      <c r="H1" s="22"/>
      <c r="I1" s="22" t="s">
        <v>239</v>
      </c>
      <c r="J1">
        <f>SUM(J3:J1048576)</f>
        <v>47.9</v>
      </c>
      <c r="K1">
        <f t="shared" ref="K1:AZ1" si="0">SUM(K3:K1048576)</f>
        <v>47.9</v>
      </c>
      <c r="L1">
        <f t="shared" si="0"/>
        <v>48.9</v>
      </c>
      <c r="M1">
        <f t="shared" si="0"/>
        <v>47.9</v>
      </c>
      <c r="N1">
        <f t="shared" si="0"/>
        <v>47.9</v>
      </c>
      <c r="O1">
        <f t="shared" si="0"/>
        <v>46.9</v>
      </c>
      <c r="P1">
        <f t="shared" si="0"/>
        <v>46.9</v>
      </c>
      <c r="Q1">
        <f t="shared" si="0"/>
        <v>46.9</v>
      </c>
      <c r="R1">
        <f t="shared" si="0"/>
        <v>45.9</v>
      </c>
      <c r="S1">
        <f t="shared" si="0"/>
        <v>45.9</v>
      </c>
      <c r="T1">
        <f t="shared" si="0"/>
        <v>45.9</v>
      </c>
      <c r="U1">
        <f t="shared" si="0"/>
        <v>45.9</v>
      </c>
      <c r="V1">
        <f t="shared" si="0"/>
        <v>45.9</v>
      </c>
      <c r="W1">
        <f t="shared" si="0"/>
        <v>46.9</v>
      </c>
      <c r="X1">
        <f t="shared" si="0"/>
        <v>46.9</v>
      </c>
      <c r="Y1">
        <f t="shared" si="0"/>
        <v>46.9</v>
      </c>
      <c r="Z1">
        <f t="shared" si="0"/>
        <v>46.9</v>
      </c>
      <c r="AA1">
        <f t="shared" si="0"/>
        <v>46.9</v>
      </c>
      <c r="AB1">
        <f t="shared" si="0"/>
        <v>47.9</v>
      </c>
      <c r="AC1">
        <f t="shared" si="0"/>
        <v>47.9</v>
      </c>
      <c r="AD1">
        <f t="shared" si="0"/>
        <v>47.9</v>
      </c>
      <c r="AE1">
        <f t="shared" si="0"/>
        <v>48.9</v>
      </c>
      <c r="AF1">
        <f t="shared" si="0"/>
        <v>48.9</v>
      </c>
      <c r="AG1">
        <f t="shared" si="0"/>
        <v>48.9</v>
      </c>
      <c r="AH1">
        <f t="shared" si="0"/>
        <v>48.9</v>
      </c>
      <c r="AI1">
        <f t="shared" si="0"/>
        <v>48.9</v>
      </c>
      <c r="AJ1">
        <f t="shared" si="0"/>
        <v>48.9</v>
      </c>
      <c r="AK1">
        <f t="shared" si="0"/>
        <v>48.9</v>
      </c>
      <c r="AL1">
        <f t="shared" si="0"/>
        <v>48.9</v>
      </c>
      <c r="AM1">
        <f t="shared" si="0"/>
        <v>48.9</v>
      </c>
      <c r="AN1">
        <f t="shared" si="0"/>
        <v>48.9</v>
      </c>
      <c r="AO1">
        <f t="shared" si="0"/>
        <v>48.9</v>
      </c>
      <c r="AP1">
        <f t="shared" si="0"/>
        <v>48.9</v>
      </c>
      <c r="AQ1">
        <f t="shared" si="0"/>
        <v>48.9</v>
      </c>
      <c r="AR1">
        <f t="shared" si="0"/>
        <v>48.9</v>
      </c>
      <c r="AS1">
        <f t="shared" si="0"/>
        <v>48.9</v>
      </c>
      <c r="AT1">
        <f t="shared" si="0"/>
        <v>48.9</v>
      </c>
      <c r="AU1">
        <f t="shared" si="0"/>
        <v>48.9</v>
      </c>
      <c r="AV1">
        <f t="shared" si="0"/>
        <v>48.9</v>
      </c>
      <c r="AW1">
        <f t="shared" si="0"/>
        <v>48.9</v>
      </c>
      <c r="AX1">
        <f t="shared" si="0"/>
        <v>48.9</v>
      </c>
      <c r="AY1">
        <f t="shared" si="0"/>
        <v>48.9</v>
      </c>
      <c r="AZ1">
        <f t="shared" si="0"/>
        <v>48.9</v>
      </c>
    </row>
    <row r="2" spans="1:52" s="6" customFormat="1" ht="17.25" thickBot="1">
      <c r="A2" s="130" t="s">
        <v>56</v>
      </c>
      <c r="B2" s="131" t="s">
        <v>57</v>
      </c>
      <c r="C2" s="131" t="s">
        <v>59</v>
      </c>
      <c r="D2" s="131" t="s">
        <v>86</v>
      </c>
      <c r="E2" s="132" t="s">
        <v>60</v>
      </c>
      <c r="F2" s="133" t="s">
        <v>61</v>
      </c>
      <c r="G2" s="132" t="s">
        <v>62</v>
      </c>
      <c r="H2" s="133" t="s">
        <v>64</v>
      </c>
      <c r="I2" s="133" t="s">
        <v>65</v>
      </c>
      <c r="J2" s="134">
        <v>45833</v>
      </c>
      <c r="K2" s="134">
        <v>45863</v>
      </c>
      <c r="L2" s="134">
        <v>45894</v>
      </c>
      <c r="M2" s="134">
        <v>45925</v>
      </c>
      <c r="N2" s="134">
        <v>45955</v>
      </c>
      <c r="O2" s="134">
        <v>45986</v>
      </c>
      <c r="P2" s="134">
        <v>46016</v>
      </c>
      <c r="Q2" s="134">
        <v>45683</v>
      </c>
      <c r="R2" s="134">
        <v>45714</v>
      </c>
      <c r="S2" s="134">
        <v>45742</v>
      </c>
      <c r="T2" s="134">
        <v>45773</v>
      </c>
      <c r="U2" s="134">
        <v>45803</v>
      </c>
      <c r="V2" s="134">
        <v>45834</v>
      </c>
      <c r="W2" s="134">
        <v>45864</v>
      </c>
      <c r="X2" s="134">
        <v>45895</v>
      </c>
      <c r="Y2" s="134">
        <v>45926</v>
      </c>
      <c r="Z2" s="134">
        <v>45956</v>
      </c>
      <c r="AA2" s="134">
        <v>45987</v>
      </c>
      <c r="AB2" s="134">
        <v>46017</v>
      </c>
      <c r="AC2" s="134">
        <v>45684</v>
      </c>
      <c r="AD2" s="134">
        <v>45715</v>
      </c>
      <c r="AE2" s="134">
        <v>45743</v>
      </c>
      <c r="AF2" s="134">
        <v>45774</v>
      </c>
      <c r="AG2" s="134">
        <v>45804</v>
      </c>
      <c r="AH2" s="134">
        <v>45835</v>
      </c>
      <c r="AI2" s="134">
        <v>45865</v>
      </c>
      <c r="AJ2" s="134">
        <v>45896</v>
      </c>
      <c r="AK2" s="134">
        <v>45927</v>
      </c>
      <c r="AL2" s="134">
        <v>45957</v>
      </c>
      <c r="AM2" s="134">
        <v>45988</v>
      </c>
      <c r="AN2" s="134">
        <v>46018</v>
      </c>
      <c r="AO2" s="134">
        <v>45685</v>
      </c>
      <c r="AP2" s="134">
        <v>45716</v>
      </c>
      <c r="AQ2" s="134">
        <v>45744</v>
      </c>
      <c r="AR2" s="134">
        <v>45775</v>
      </c>
      <c r="AS2" s="134">
        <v>45805</v>
      </c>
      <c r="AT2" s="134">
        <v>45836</v>
      </c>
      <c r="AU2" s="134">
        <v>45866</v>
      </c>
      <c r="AV2" s="134">
        <v>45897</v>
      </c>
      <c r="AW2" s="134">
        <v>45928</v>
      </c>
      <c r="AX2" s="134">
        <v>45958</v>
      </c>
      <c r="AY2" s="134">
        <v>45989</v>
      </c>
      <c r="AZ2" s="135">
        <v>46019</v>
      </c>
    </row>
    <row r="3" spans="1:52" ht="17.25" thickTop="1">
      <c r="A3" s="18">
        <v>1</v>
      </c>
      <c r="B3" s="7"/>
      <c r="C3" s="17" t="str">
        <f>$B$1</f>
        <v>정원</v>
      </c>
      <c r="D3" s="7" t="s">
        <v>66</v>
      </c>
      <c r="E3" s="7" t="s">
        <v>120</v>
      </c>
      <c r="F3" s="7" t="s">
        <v>240</v>
      </c>
      <c r="G3" s="7" t="s">
        <v>241</v>
      </c>
      <c r="H3" s="7"/>
      <c r="I3" s="7"/>
      <c r="J3" s="7">
        <v>0.4</v>
      </c>
      <c r="K3" s="7">
        <v>0.4</v>
      </c>
      <c r="L3" s="7">
        <v>0.4</v>
      </c>
      <c r="M3" s="7">
        <v>0.4</v>
      </c>
      <c r="N3" s="7">
        <v>0.4</v>
      </c>
      <c r="O3" s="7">
        <v>0.4</v>
      </c>
      <c r="P3" s="7">
        <v>0.4</v>
      </c>
      <c r="Q3" s="7">
        <v>0.4</v>
      </c>
      <c r="R3" s="7">
        <v>0.4</v>
      </c>
      <c r="S3" s="7">
        <v>0.4</v>
      </c>
      <c r="T3" s="7">
        <v>0.4</v>
      </c>
      <c r="U3" s="7">
        <v>0.4</v>
      </c>
      <c r="V3" s="7">
        <v>0.4</v>
      </c>
      <c r="W3" s="7">
        <v>0.4</v>
      </c>
      <c r="X3" s="7">
        <v>0.4</v>
      </c>
      <c r="Y3" s="7">
        <v>0.4</v>
      </c>
      <c r="Z3" s="7">
        <v>0.4</v>
      </c>
      <c r="AA3" s="7">
        <v>0.4</v>
      </c>
      <c r="AB3" s="7">
        <v>0.4</v>
      </c>
      <c r="AC3" s="7">
        <v>0.4</v>
      </c>
      <c r="AD3" s="7">
        <v>0.4</v>
      </c>
      <c r="AE3" s="7">
        <v>0.4</v>
      </c>
      <c r="AF3" s="7">
        <v>0.4</v>
      </c>
      <c r="AG3" s="7">
        <v>0.4</v>
      </c>
      <c r="AH3" s="7">
        <v>0.4</v>
      </c>
      <c r="AI3" s="7">
        <v>0.4</v>
      </c>
      <c r="AJ3" s="7">
        <v>0.4</v>
      </c>
      <c r="AK3" s="7">
        <v>0.4</v>
      </c>
      <c r="AL3" s="7">
        <v>0.4</v>
      </c>
      <c r="AM3" s="7">
        <v>0.4</v>
      </c>
      <c r="AN3" s="7">
        <v>0.4</v>
      </c>
      <c r="AO3" s="7">
        <v>0.4</v>
      </c>
      <c r="AP3" s="7">
        <v>0.4</v>
      </c>
      <c r="AQ3" s="7">
        <v>0.4</v>
      </c>
      <c r="AR3" s="7">
        <v>0.4</v>
      </c>
      <c r="AS3" s="7">
        <v>0.4</v>
      </c>
      <c r="AT3" s="7">
        <v>0.4</v>
      </c>
      <c r="AU3" s="7">
        <v>0.4</v>
      </c>
      <c r="AV3" s="7">
        <v>0.4</v>
      </c>
      <c r="AW3" s="7">
        <v>0.4</v>
      </c>
      <c r="AX3" s="7">
        <v>0.4</v>
      </c>
      <c r="AY3" s="7">
        <v>0.4</v>
      </c>
      <c r="AZ3" s="7">
        <v>0.4</v>
      </c>
    </row>
    <row r="4" spans="1:52">
      <c r="A4" s="18">
        <v>2</v>
      </c>
      <c r="B4" s="7"/>
      <c r="C4" s="17" t="str">
        <f t="shared" ref="C4:C55" si="1">$B$1</f>
        <v>정원</v>
      </c>
      <c r="D4" s="7" t="s">
        <v>67</v>
      </c>
      <c r="E4" s="7" t="s">
        <v>122</v>
      </c>
      <c r="F4" s="7" t="s">
        <v>240</v>
      </c>
      <c r="G4" s="7" t="s">
        <v>240</v>
      </c>
      <c r="H4" s="7"/>
      <c r="I4" s="7"/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>
        <v>1</v>
      </c>
      <c r="AZ4" s="7">
        <v>1</v>
      </c>
    </row>
    <row r="5" spans="1:52">
      <c r="A5" s="18">
        <v>3</v>
      </c>
      <c r="B5" s="7"/>
      <c r="C5" s="17" t="str">
        <f t="shared" si="1"/>
        <v>정원</v>
      </c>
      <c r="D5" s="7" t="s">
        <v>242</v>
      </c>
      <c r="E5" s="7" t="s">
        <v>122</v>
      </c>
      <c r="F5" s="7" t="s">
        <v>243</v>
      </c>
      <c r="G5" s="7" t="s">
        <v>243</v>
      </c>
      <c r="H5" s="7"/>
      <c r="I5" s="7"/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>
        <v>1</v>
      </c>
      <c r="AZ5" s="7">
        <v>1</v>
      </c>
    </row>
    <row r="6" spans="1:52">
      <c r="A6" s="18">
        <v>4</v>
      </c>
      <c r="B6" s="7"/>
      <c r="C6" s="17" t="str">
        <f t="shared" si="1"/>
        <v>정원</v>
      </c>
      <c r="D6" s="7" t="s">
        <v>244</v>
      </c>
      <c r="E6" s="7" t="s">
        <v>122</v>
      </c>
      <c r="F6" s="7" t="s">
        <v>243</v>
      </c>
      <c r="G6" s="7" t="s">
        <v>243</v>
      </c>
      <c r="H6" s="7"/>
      <c r="I6" s="7"/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</row>
    <row r="7" spans="1:52">
      <c r="A7" s="18">
        <v>5</v>
      </c>
      <c r="B7" s="7"/>
      <c r="C7" s="17" t="str">
        <f t="shared" si="1"/>
        <v>정원</v>
      </c>
      <c r="D7" s="7" t="s">
        <v>245</v>
      </c>
      <c r="E7" s="7" t="s">
        <v>122</v>
      </c>
      <c r="F7" s="7" t="s">
        <v>243</v>
      </c>
      <c r="G7" s="7" t="s">
        <v>243</v>
      </c>
      <c r="H7" s="7"/>
      <c r="I7" s="7"/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</row>
    <row r="8" spans="1:52">
      <c r="A8" s="18">
        <v>6</v>
      </c>
      <c r="B8" s="7"/>
      <c r="C8" s="17" t="str">
        <f t="shared" si="1"/>
        <v>정원</v>
      </c>
      <c r="D8" s="7" t="s">
        <v>69</v>
      </c>
      <c r="E8" s="7" t="s">
        <v>246</v>
      </c>
      <c r="F8" s="7" t="s">
        <v>240</v>
      </c>
      <c r="G8" s="7" t="s">
        <v>240</v>
      </c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</row>
    <row r="9" spans="1:52">
      <c r="A9" s="18">
        <v>7</v>
      </c>
      <c r="B9" s="7"/>
      <c r="C9" s="17" t="str">
        <f t="shared" si="1"/>
        <v>정원</v>
      </c>
      <c r="D9" s="7" t="s">
        <v>187</v>
      </c>
      <c r="E9" s="7" t="s">
        <v>246</v>
      </c>
      <c r="F9" s="7" t="s">
        <v>247</v>
      </c>
      <c r="G9" s="7" t="s">
        <v>70</v>
      </c>
      <c r="H9" s="7"/>
      <c r="I9" s="7"/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</row>
    <row r="10" spans="1:52">
      <c r="A10" s="18">
        <v>8</v>
      </c>
      <c r="B10" s="7"/>
      <c r="C10" s="17" t="str">
        <f t="shared" si="1"/>
        <v>정원</v>
      </c>
      <c r="D10" s="7" t="s">
        <v>183</v>
      </c>
      <c r="E10" s="7" t="s">
        <v>246</v>
      </c>
      <c r="F10" s="7" t="s">
        <v>247</v>
      </c>
      <c r="G10" s="7" t="s">
        <v>248</v>
      </c>
      <c r="H10" s="7"/>
      <c r="I10" s="7"/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</row>
    <row r="11" spans="1:52">
      <c r="A11" s="160">
        <v>9</v>
      </c>
      <c r="B11" s="162" t="s">
        <v>249</v>
      </c>
      <c r="C11" s="161" t="str">
        <f t="shared" si="1"/>
        <v>정원</v>
      </c>
      <c r="D11" s="162" t="s">
        <v>186</v>
      </c>
      <c r="E11" s="162" t="s">
        <v>246</v>
      </c>
      <c r="F11" s="162" t="s">
        <v>247</v>
      </c>
      <c r="G11" s="162" t="s">
        <v>130</v>
      </c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>
      <c r="A12" s="18">
        <v>10</v>
      </c>
      <c r="B12" s="7"/>
      <c r="C12" s="17" t="str">
        <f t="shared" si="1"/>
        <v>정원</v>
      </c>
      <c r="D12" s="7" t="s">
        <v>185</v>
      </c>
      <c r="E12" s="7" t="s">
        <v>246</v>
      </c>
      <c r="F12" s="7" t="s">
        <v>247</v>
      </c>
      <c r="G12" s="7" t="s">
        <v>248</v>
      </c>
      <c r="H12" s="7"/>
      <c r="I12" s="7"/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</row>
    <row r="13" spans="1:52">
      <c r="A13" s="18">
        <v>11</v>
      </c>
      <c r="B13" s="7"/>
      <c r="C13" s="17" t="str">
        <f t="shared" si="1"/>
        <v>정원</v>
      </c>
      <c r="D13" s="7" t="s">
        <v>184</v>
      </c>
      <c r="E13" s="7" t="s">
        <v>246</v>
      </c>
      <c r="F13" s="7" t="s">
        <v>247</v>
      </c>
      <c r="G13" s="7" t="s">
        <v>248</v>
      </c>
      <c r="H13" s="7"/>
      <c r="I13" s="7"/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</row>
    <row r="14" spans="1:52">
      <c r="A14" s="18">
        <v>12</v>
      </c>
      <c r="B14" s="7"/>
      <c r="C14" s="17" t="str">
        <f t="shared" si="1"/>
        <v>정원</v>
      </c>
      <c r="D14" s="7" t="s">
        <v>182</v>
      </c>
      <c r="E14" s="7" t="s">
        <v>246</v>
      </c>
      <c r="F14" s="7" t="s">
        <v>247</v>
      </c>
      <c r="G14" s="7" t="s">
        <v>250</v>
      </c>
      <c r="H14" s="7"/>
      <c r="I14" s="7"/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</row>
    <row r="15" spans="1:52">
      <c r="A15" s="18">
        <v>13</v>
      </c>
      <c r="B15" s="7"/>
      <c r="C15" s="17" t="str">
        <f t="shared" si="1"/>
        <v>정원</v>
      </c>
      <c r="D15" s="7" t="s">
        <v>181</v>
      </c>
      <c r="E15" s="7" t="s">
        <v>246</v>
      </c>
      <c r="F15" s="7" t="s">
        <v>247</v>
      </c>
      <c r="G15" s="7" t="s">
        <v>250</v>
      </c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</row>
    <row r="16" spans="1:52">
      <c r="A16" s="18">
        <v>14</v>
      </c>
      <c r="B16" s="7"/>
      <c r="C16" s="17" t="str">
        <f t="shared" si="1"/>
        <v>정원</v>
      </c>
      <c r="D16" s="7" t="s">
        <v>202</v>
      </c>
      <c r="E16" s="7" t="s">
        <v>246</v>
      </c>
      <c r="F16" s="7" t="s">
        <v>251</v>
      </c>
      <c r="G16" s="7" t="s">
        <v>70</v>
      </c>
      <c r="H16" s="7"/>
      <c r="I16" s="7"/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</row>
    <row r="17" spans="1:52">
      <c r="A17" s="18">
        <v>15</v>
      </c>
      <c r="B17" s="7"/>
      <c r="C17" s="17" t="str">
        <f t="shared" si="1"/>
        <v>정원</v>
      </c>
      <c r="D17" s="7" t="s">
        <v>201</v>
      </c>
      <c r="E17" s="7" t="s">
        <v>246</v>
      </c>
      <c r="F17" s="7" t="s">
        <v>251</v>
      </c>
      <c r="G17" s="7" t="s">
        <v>70</v>
      </c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</row>
    <row r="18" spans="1:52">
      <c r="A18" s="18">
        <v>16</v>
      </c>
      <c r="B18" s="7"/>
      <c r="C18" s="17" t="str">
        <f t="shared" si="1"/>
        <v>정원</v>
      </c>
      <c r="D18" s="7" t="s">
        <v>199</v>
      </c>
      <c r="E18" s="7" t="s">
        <v>246</v>
      </c>
      <c r="F18" s="7" t="s">
        <v>251</v>
      </c>
      <c r="G18" s="7" t="s">
        <v>248</v>
      </c>
      <c r="H18" s="7"/>
      <c r="I18" s="7"/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</row>
    <row r="19" spans="1:52">
      <c r="A19" s="18">
        <v>17</v>
      </c>
      <c r="B19" s="7" t="s">
        <v>252</v>
      </c>
      <c r="C19" s="17" t="str">
        <f t="shared" si="1"/>
        <v>정원</v>
      </c>
      <c r="D19" s="7" t="s">
        <v>200</v>
      </c>
      <c r="E19" s="7" t="s">
        <v>246</v>
      </c>
      <c r="F19" s="7" t="s">
        <v>251</v>
      </c>
      <c r="G19" s="7" t="s">
        <v>248</v>
      </c>
      <c r="H19" s="7"/>
      <c r="I19" s="7"/>
      <c r="J19" s="7"/>
      <c r="K19" s="7"/>
      <c r="L19" s="7"/>
      <c r="M19" s="7"/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1</v>
      </c>
      <c r="AY19" s="7">
        <v>1</v>
      </c>
      <c r="AZ19" s="7">
        <v>1</v>
      </c>
    </row>
    <row r="20" spans="1:52">
      <c r="A20" s="18">
        <v>18</v>
      </c>
      <c r="B20" s="7"/>
      <c r="C20" s="17" t="str">
        <f t="shared" si="1"/>
        <v>정원</v>
      </c>
      <c r="D20" s="7" t="s">
        <v>203</v>
      </c>
      <c r="E20" s="7" t="s">
        <v>246</v>
      </c>
      <c r="F20" s="7" t="s">
        <v>251</v>
      </c>
      <c r="G20" s="7" t="s">
        <v>70</v>
      </c>
      <c r="H20" s="7"/>
      <c r="I20" s="7"/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</row>
    <row r="21" spans="1:52">
      <c r="A21" s="18">
        <v>19</v>
      </c>
      <c r="C21" s="17" t="str">
        <f t="shared" si="1"/>
        <v>정원</v>
      </c>
      <c r="D21" s="7" t="s">
        <v>198</v>
      </c>
      <c r="E21" s="7" t="s">
        <v>246</v>
      </c>
      <c r="F21" s="7" t="s">
        <v>251</v>
      </c>
      <c r="G21" s="7" t="s">
        <v>248</v>
      </c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</row>
    <row r="22" spans="1:52">
      <c r="A22" s="18">
        <v>20</v>
      </c>
      <c r="C22" s="17" t="str">
        <f t="shared" si="1"/>
        <v>정원</v>
      </c>
      <c r="D22" s="7" t="s">
        <v>197</v>
      </c>
      <c r="E22" s="7" t="s">
        <v>246</v>
      </c>
      <c r="F22" s="7" t="s">
        <v>251</v>
      </c>
      <c r="G22" s="7" t="s">
        <v>250</v>
      </c>
      <c r="H22" s="7"/>
      <c r="I22" s="7"/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</row>
    <row r="23" spans="1:52">
      <c r="A23" s="18">
        <v>21</v>
      </c>
      <c r="C23" s="17" t="str">
        <f t="shared" si="1"/>
        <v>정원</v>
      </c>
      <c r="D23" s="7" t="s">
        <v>194</v>
      </c>
      <c r="E23" s="7" t="s">
        <v>246</v>
      </c>
      <c r="F23" s="7" t="s">
        <v>253</v>
      </c>
      <c r="G23" s="7" t="s">
        <v>70</v>
      </c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</row>
    <row r="24" spans="1:52">
      <c r="A24" s="18">
        <v>22</v>
      </c>
      <c r="C24" s="17" t="str">
        <f t="shared" si="1"/>
        <v>정원</v>
      </c>
      <c r="D24" s="7" t="s">
        <v>191</v>
      </c>
      <c r="E24" s="7" t="s">
        <v>246</v>
      </c>
      <c r="F24" s="7" t="s">
        <v>253</v>
      </c>
      <c r="G24" s="7" t="s">
        <v>248</v>
      </c>
      <c r="H24" s="7"/>
      <c r="I24" s="7"/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</row>
    <row r="25" spans="1:52">
      <c r="A25" s="18">
        <v>23</v>
      </c>
      <c r="C25" s="17" t="str">
        <f t="shared" si="1"/>
        <v>정원</v>
      </c>
      <c r="D25" s="7" t="s">
        <v>192</v>
      </c>
      <c r="E25" s="7" t="s">
        <v>246</v>
      </c>
      <c r="F25" s="7" t="s">
        <v>253</v>
      </c>
      <c r="G25" s="7" t="s">
        <v>248</v>
      </c>
      <c r="H25" s="7"/>
      <c r="I25" s="7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</row>
    <row r="26" spans="1:52">
      <c r="A26" s="18">
        <v>24</v>
      </c>
      <c r="C26" s="17" t="str">
        <f t="shared" si="1"/>
        <v>정원</v>
      </c>
      <c r="D26" s="7" t="s">
        <v>195</v>
      </c>
      <c r="E26" s="7" t="s">
        <v>246</v>
      </c>
      <c r="F26" s="7" t="s">
        <v>253</v>
      </c>
      <c r="G26" s="7" t="s">
        <v>70</v>
      </c>
      <c r="H26" s="7"/>
      <c r="I26" s="7"/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</row>
    <row r="27" spans="1:52">
      <c r="A27" s="18">
        <v>25</v>
      </c>
      <c r="C27" s="17" t="str">
        <f t="shared" si="1"/>
        <v>정원</v>
      </c>
      <c r="D27" s="7" t="s">
        <v>190</v>
      </c>
      <c r="E27" s="7" t="s">
        <v>246</v>
      </c>
      <c r="F27" s="7" t="s">
        <v>253</v>
      </c>
      <c r="G27" s="7" t="s">
        <v>248</v>
      </c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</row>
    <row r="28" spans="1:52">
      <c r="A28" s="18">
        <v>26</v>
      </c>
      <c r="B28" s="7" t="s">
        <v>252</v>
      </c>
      <c r="C28" s="17" t="str">
        <f t="shared" si="1"/>
        <v>정원</v>
      </c>
      <c r="D28" s="7" t="s">
        <v>193</v>
      </c>
      <c r="E28" s="7" t="s">
        <v>246</v>
      </c>
      <c r="F28" s="7" t="s">
        <v>253</v>
      </c>
      <c r="G28" s="7" t="s">
        <v>248</v>
      </c>
      <c r="H28" s="7"/>
      <c r="I28" s="7"/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</row>
    <row r="29" spans="1:52">
      <c r="A29" s="18">
        <v>27</v>
      </c>
      <c r="C29" s="17" t="str">
        <f t="shared" si="1"/>
        <v>정원</v>
      </c>
      <c r="D29" s="7" t="s">
        <v>189</v>
      </c>
      <c r="E29" s="7" t="s">
        <v>246</v>
      </c>
      <c r="F29" s="7" t="s">
        <v>253</v>
      </c>
      <c r="G29" s="7" t="s">
        <v>250</v>
      </c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</row>
    <row r="30" spans="1:52">
      <c r="A30" s="18">
        <v>28</v>
      </c>
      <c r="C30" s="17" t="str">
        <f t="shared" si="1"/>
        <v>정원</v>
      </c>
      <c r="D30" s="7" t="s">
        <v>73</v>
      </c>
      <c r="E30" s="7" t="s">
        <v>246</v>
      </c>
      <c r="F30" s="7" t="s">
        <v>254</v>
      </c>
      <c r="G30" s="7" t="s">
        <v>255</v>
      </c>
      <c r="H30" s="7"/>
      <c r="I30" s="7"/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</row>
    <row r="31" spans="1:52">
      <c r="A31" s="18">
        <v>29</v>
      </c>
      <c r="C31" s="17" t="str">
        <f t="shared" si="1"/>
        <v>정원</v>
      </c>
      <c r="D31" s="7" t="s">
        <v>256</v>
      </c>
      <c r="E31" s="7" t="s">
        <v>246</v>
      </c>
      <c r="F31" s="7" t="s">
        <v>254</v>
      </c>
      <c r="G31" s="7" t="s">
        <v>257</v>
      </c>
      <c r="H31" s="7"/>
      <c r="I31" s="7"/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</row>
    <row r="32" spans="1:52">
      <c r="A32" s="18">
        <v>30</v>
      </c>
      <c r="C32" s="17" t="str">
        <f t="shared" si="1"/>
        <v>정원</v>
      </c>
      <c r="D32" s="7" t="s">
        <v>258</v>
      </c>
      <c r="E32" s="7" t="s">
        <v>246</v>
      </c>
      <c r="F32" s="7" t="s">
        <v>254</v>
      </c>
      <c r="G32" s="7" t="s">
        <v>257</v>
      </c>
      <c r="H32" s="7"/>
      <c r="I32" s="7"/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</row>
    <row r="33" spans="1:52">
      <c r="A33" s="18">
        <v>31</v>
      </c>
      <c r="C33" s="17" t="str">
        <f t="shared" si="1"/>
        <v>정원</v>
      </c>
      <c r="D33" s="7" t="s">
        <v>259</v>
      </c>
      <c r="E33" s="7" t="s">
        <v>246</v>
      </c>
      <c r="F33" s="7" t="s">
        <v>254</v>
      </c>
      <c r="G33" s="7" t="s">
        <v>257</v>
      </c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</row>
    <row r="34" spans="1:52">
      <c r="A34" s="160">
        <v>32</v>
      </c>
      <c r="B34" s="162" t="s">
        <v>249</v>
      </c>
      <c r="C34" s="161" t="str">
        <f t="shared" si="1"/>
        <v>정원</v>
      </c>
      <c r="D34" s="162" t="s">
        <v>260</v>
      </c>
      <c r="E34" s="162" t="s">
        <v>246</v>
      </c>
      <c r="F34" s="162" t="s">
        <v>254</v>
      </c>
      <c r="G34" s="162" t="s">
        <v>257</v>
      </c>
      <c r="H34" s="7"/>
      <c r="I34" s="7"/>
      <c r="J34" s="7">
        <v>1</v>
      </c>
      <c r="K34" s="7">
        <v>1</v>
      </c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>
      <c r="A35" s="18">
        <v>33</v>
      </c>
      <c r="B35" s="7" t="s">
        <v>252</v>
      </c>
      <c r="C35" s="17" t="str">
        <f t="shared" si="1"/>
        <v>정원</v>
      </c>
      <c r="D35" s="7" t="s">
        <v>261</v>
      </c>
      <c r="E35" s="7" t="s">
        <v>246</v>
      </c>
      <c r="F35" s="7" t="s">
        <v>254</v>
      </c>
      <c r="G35" s="7" t="s">
        <v>257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</row>
    <row r="36" spans="1:52">
      <c r="A36" s="18">
        <v>34</v>
      </c>
      <c r="B36" s="7" t="s">
        <v>252</v>
      </c>
      <c r="C36" s="17" t="str">
        <f t="shared" si="1"/>
        <v>정원</v>
      </c>
      <c r="D36" s="7" t="s">
        <v>262</v>
      </c>
      <c r="E36" s="7" t="s">
        <v>246</v>
      </c>
      <c r="F36" s="7" t="s">
        <v>254</v>
      </c>
      <c r="G36" s="7" t="s">
        <v>257</v>
      </c>
      <c r="H36" s="7"/>
      <c r="I36" s="7"/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>
      <c r="A37" s="18">
        <v>35</v>
      </c>
      <c r="C37" s="17" t="str">
        <f t="shared" si="1"/>
        <v>정원</v>
      </c>
      <c r="D37" s="7" t="s">
        <v>263</v>
      </c>
      <c r="E37" s="7" t="s">
        <v>246</v>
      </c>
      <c r="F37" s="7" t="s">
        <v>254</v>
      </c>
      <c r="G37" s="7" t="s">
        <v>257</v>
      </c>
      <c r="H37" s="7"/>
      <c r="I37" s="7"/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</row>
    <row r="38" spans="1:52">
      <c r="A38" s="18">
        <v>36</v>
      </c>
      <c r="C38" s="17" t="str">
        <f t="shared" si="1"/>
        <v>정원</v>
      </c>
      <c r="D38" s="7" t="s">
        <v>264</v>
      </c>
      <c r="E38" s="7" t="s">
        <v>246</v>
      </c>
      <c r="F38" s="7" t="s">
        <v>254</v>
      </c>
      <c r="G38" s="7" t="s">
        <v>257</v>
      </c>
      <c r="H38" s="7"/>
      <c r="I38" s="7"/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</row>
    <row r="39" spans="1:52">
      <c r="A39" s="18">
        <v>37</v>
      </c>
      <c r="C39" s="17" t="str">
        <f t="shared" si="1"/>
        <v>정원</v>
      </c>
      <c r="D39" s="7" t="s">
        <v>265</v>
      </c>
      <c r="E39" s="7" t="s">
        <v>246</v>
      </c>
      <c r="F39" s="7" t="s">
        <v>254</v>
      </c>
      <c r="G39" s="7" t="s">
        <v>257</v>
      </c>
      <c r="H39" s="7"/>
      <c r="I39" s="7"/>
      <c r="J39" s="7"/>
      <c r="K39" s="7"/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</row>
    <row r="40" spans="1:52">
      <c r="A40" s="18">
        <v>38</v>
      </c>
      <c r="C40" s="17" t="str">
        <f t="shared" si="1"/>
        <v>정원</v>
      </c>
      <c r="D40" s="7" t="s">
        <v>75</v>
      </c>
      <c r="E40" s="7" t="s">
        <v>266</v>
      </c>
      <c r="F40" s="7" t="s">
        <v>240</v>
      </c>
      <c r="G40" s="7" t="s">
        <v>240</v>
      </c>
      <c r="H40" s="7"/>
      <c r="I40" s="7"/>
      <c r="J40" s="7">
        <v>0.5</v>
      </c>
      <c r="K40" s="7">
        <v>0.5</v>
      </c>
      <c r="L40" s="7">
        <v>0.5</v>
      </c>
      <c r="M40" s="7">
        <v>0.5</v>
      </c>
      <c r="N40" s="7">
        <v>0.5</v>
      </c>
      <c r="O40" s="7">
        <v>0.5</v>
      </c>
      <c r="P40" s="7">
        <v>0.5</v>
      </c>
      <c r="Q40" s="7">
        <v>0.5</v>
      </c>
      <c r="R40" s="7">
        <v>0.5</v>
      </c>
      <c r="S40" s="7">
        <v>0.5</v>
      </c>
      <c r="T40" s="7">
        <v>0.5</v>
      </c>
      <c r="U40" s="7">
        <v>0.5</v>
      </c>
      <c r="V40" s="7">
        <v>0.5</v>
      </c>
      <c r="W40" s="7">
        <v>0.5</v>
      </c>
      <c r="X40" s="7">
        <v>0.5</v>
      </c>
      <c r="Y40" s="7">
        <v>0.5</v>
      </c>
      <c r="Z40" s="7">
        <v>0.5</v>
      </c>
      <c r="AA40" s="7">
        <v>0.5</v>
      </c>
      <c r="AB40" s="7">
        <v>0.5</v>
      </c>
      <c r="AC40" s="7">
        <v>0.5</v>
      </c>
      <c r="AD40" s="7">
        <v>0.5</v>
      </c>
      <c r="AE40" s="7">
        <v>0.5</v>
      </c>
      <c r="AF40" s="7">
        <v>0.5</v>
      </c>
      <c r="AG40" s="7">
        <v>0.5</v>
      </c>
      <c r="AH40" s="7">
        <v>0.5</v>
      </c>
      <c r="AI40" s="7">
        <v>0.5</v>
      </c>
      <c r="AJ40" s="7">
        <v>0.5</v>
      </c>
      <c r="AK40" s="7">
        <v>0.5</v>
      </c>
      <c r="AL40" s="7">
        <v>0.5</v>
      </c>
      <c r="AM40" s="7">
        <v>0.5</v>
      </c>
      <c r="AN40" s="7">
        <v>0.5</v>
      </c>
      <c r="AO40" s="7">
        <v>0.5</v>
      </c>
      <c r="AP40" s="7">
        <v>0.5</v>
      </c>
      <c r="AQ40" s="7">
        <v>0.5</v>
      </c>
      <c r="AR40" s="7">
        <v>0.5</v>
      </c>
      <c r="AS40" s="7">
        <v>0.5</v>
      </c>
      <c r="AT40" s="7">
        <v>0.5</v>
      </c>
      <c r="AU40" s="7">
        <v>0.5</v>
      </c>
      <c r="AV40" s="7">
        <v>0.5</v>
      </c>
      <c r="AW40" s="7">
        <v>0.5</v>
      </c>
      <c r="AX40" s="7">
        <v>0.5</v>
      </c>
      <c r="AY40" s="7">
        <v>0.5</v>
      </c>
      <c r="AZ40" s="7">
        <v>0.5</v>
      </c>
    </row>
    <row r="41" spans="1:52">
      <c r="A41" s="18">
        <v>39</v>
      </c>
      <c r="C41" s="17" t="str">
        <f t="shared" si="1"/>
        <v>정원</v>
      </c>
      <c r="D41" s="7" t="s">
        <v>76</v>
      </c>
      <c r="E41" s="7" t="s">
        <v>266</v>
      </c>
      <c r="F41" s="7" t="s">
        <v>267</v>
      </c>
      <c r="G41" s="7" t="s">
        <v>255</v>
      </c>
      <c r="H41" s="7"/>
      <c r="I41" s="7"/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</row>
    <row r="42" spans="1:52">
      <c r="A42" s="18">
        <v>40</v>
      </c>
      <c r="B42" s="7" t="s">
        <v>252</v>
      </c>
      <c r="C42" s="17" t="str">
        <f t="shared" si="1"/>
        <v>정원</v>
      </c>
      <c r="D42" s="7" t="s">
        <v>171</v>
      </c>
      <c r="E42" s="7" t="s">
        <v>266</v>
      </c>
      <c r="F42" s="7" t="s">
        <v>267</v>
      </c>
      <c r="G42" s="7" t="s">
        <v>268</v>
      </c>
      <c r="H42" s="7"/>
      <c r="I42" s="7"/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</row>
    <row r="43" spans="1:52">
      <c r="A43" s="18">
        <v>41</v>
      </c>
      <c r="C43" s="17" t="str">
        <f t="shared" si="1"/>
        <v>정원</v>
      </c>
      <c r="D43" s="7" t="s">
        <v>172</v>
      </c>
      <c r="E43" s="7" t="s">
        <v>266</v>
      </c>
      <c r="F43" s="7" t="s">
        <v>267</v>
      </c>
      <c r="G43" s="7" t="s">
        <v>268</v>
      </c>
      <c r="H43" s="7"/>
      <c r="I43" s="7"/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</row>
    <row r="44" spans="1:52">
      <c r="A44" s="18">
        <v>42</v>
      </c>
      <c r="C44" s="17" t="str">
        <f t="shared" si="1"/>
        <v>정원</v>
      </c>
      <c r="D44" s="7" t="s">
        <v>173</v>
      </c>
      <c r="E44" s="7" t="s">
        <v>266</v>
      </c>
      <c r="F44" s="7" t="s">
        <v>267</v>
      </c>
      <c r="G44" s="7" t="s">
        <v>268</v>
      </c>
      <c r="H44" s="7"/>
      <c r="I44" s="7"/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</row>
    <row r="45" spans="1:52">
      <c r="A45" s="18">
        <v>43</v>
      </c>
      <c r="C45" s="17" t="str">
        <f t="shared" si="1"/>
        <v>정원</v>
      </c>
      <c r="D45" s="7" t="s">
        <v>177</v>
      </c>
      <c r="E45" s="7" t="s">
        <v>266</v>
      </c>
      <c r="F45" s="7" t="s">
        <v>267</v>
      </c>
      <c r="G45" s="7" t="s">
        <v>269</v>
      </c>
      <c r="H45" s="7"/>
      <c r="I45" s="7"/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</row>
    <row r="46" spans="1:52">
      <c r="A46" s="18">
        <v>44</v>
      </c>
      <c r="C46" s="17" t="str">
        <f t="shared" si="1"/>
        <v>정원</v>
      </c>
      <c r="D46" s="7" t="s">
        <v>178</v>
      </c>
      <c r="E46" s="7" t="s">
        <v>266</v>
      </c>
      <c r="F46" s="7" t="s">
        <v>267</v>
      </c>
      <c r="G46" s="7" t="s">
        <v>269</v>
      </c>
      <c r="H46" s="7"/>
      <c r="I46" s="7"/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</row>
    <row r="47" spans="1:52">
      <c r="A47" s="18">
        <v>45</v>
      </c>
      <c r="C47" s="17" t="str">
        <f t="shared" si="1"/>
        <v>정원</v>
      </c>
      <c r="D47" s="7" t="s">
        <v>176</v>
      </c>
      <c r="E47" s="7" t="s">
        <v>266</v>
      </c>
      <c r="F47" s="7" t="s">
        <v>267</v>
      </c>
      <c r="G47" s="7" t="s">
        <v>269</v>
      </c>
      <c r="H47" s="7"/>
      <c r="I47" s="7"/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</row>
    <row r="48" spans="1:52">
      <c r="A48" s="18">
        <v>46</v>
      </c>
      <c r="C48" s="17" t="str">
        <f t="shared" si="1"/>
        <v>정원</v>
      </c>
      <c r="D48" s="7" t="s">
        <v>175</v>
      </c>
      <c r="E48" s="7" t="s">
        <v>266</v>
      </c>
      <c r="F48" s="7" t="s">
        <v>267</v>
      </c>
      <c r="G48" s="7" t="s">
        <v>268</v>
      </c>
      <c r="H48" s="7"/>
      <c r="I48" s="7"/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</row>
    <row r="49" spans="1:52">
      <c r="A49" s="18">
        <v>47</v>
      </c>
      <c r="C49" s="17" t="str">
        <f t="shared" si="1"/>
        <v>정원</v>
      </c>
      <c r="D49" s="7" t="s">
        <v>174</v>
      </c>
      <c r="E49" s="7" t="s">
        <v>266</v>
      </c>
      <c r="F49" s="7" t="s">
        <v>267</v>
      </c>
      <c r="G49" s="7" t="s">
        <v>268</v>
      </c>
      <c r="H49" s="7"/>
      <c r="I49" s="7"/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</row>
    <row r="50" spans="1:52">
      <c r="A50" s="18">
        <v>48</v>
      </c>
      <c r="C50" s="17" t="str">
        <f t="shared" si="1"/>
        <v>정원</v>
      </c>
      <c r="D50" s="7" t="s">
        <v>79</v>
      </c>
      <c r="E50" s="7" t="s">
        <v>266</v>
      </c>
      <c r="F50" s="7" t="s">
        <v>270</v>
      </c>
      <c r="G50" s="7" t="s">
        <v>255</v>
      </c>
      <c r="H50" s="7"/>
      <c r="I50" s="7"/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</row>
    <row r="51" spans="1:52">
      <c r="A51" s="18">
        <v>49</v>
      </c>
      <c r="C51" s="17" t="str">
        <f t="shared" si="1"/>
        <v>정원</v>
      </c>
      <c r="D51" s="7" t="s">
        <v>271</v>
      </c>
      <c r="E51" s="7" t="s">
        <v>266</v>
      </c>
      <c r="F51" s="7" t="s">
        <v>270</v>
      </c>
      <c r="G51" s="7" t="s">
        <v>272</v>
      </c>
      <c r="H51" s="7"/>
      <c r="I51" s="7"/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</row>
    <row r="52" spans="1:52">
      <c r="A52" s="18">
        <v>50</v>
      </c>
      <c r="C52" s="17" t="str">
        <f t="shared" si="1"/>
        <v>정원</v>
      </c>
      <c r="D52" s="7" t="s">
        <v>273</v>
      </c>
      <c r="E52" s="7" t="s">
        <v>266</v>
      </c>
      <c r="F52" s="7" t="s">
        <v>270</v>
      </c>
      <c r="G52" s="7" t="s">
        <v>272</v>
      </c>
      <c r="H52" s="7"/>
      <c r="I52" s="7"/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</row>
    <row r="53" spans="1:52">
      <c r="A53" s="18">
        <v>51</v>
      </c>
      <c r="C53" s="17" t="str">
        <f t="shared" si="1"/>
        <v>정원</v>
      </c>
      <c r="D53" s="7" t="s">
        <v>274</v>
      </c>
      <c r="E53" s="7" t="s">
        <v>266</v>
      </c>
      <c r="F53" s="7" t="s">
        <v>270</v>
      </c>
      <c r="G53" s="7" t="s">
        <v>272</v>
      </c>
      <c r="H53" s="7"/>
      <c r="I53" s="7"/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</row>
    <row r="54" spans="1:52">
      <c r="A54" s="18">
        <v>52</v>
      </c>
      <c r="C54" s="17" t="str">
        <f t="shared" si="1"/>
        <v>정원</v>
      </c>
      <c r="D54" s="7" t="s">
        <v>275</v>
      </c>
      <c r="E54" s="7" t="s">
        <v>266</v>
      </c>
      <c r="F54" s="7" t="s">
        <v>270</v>
      </c>
      <c r="G54" s="7" t="s">
        <v>272</v>
      </c>
      <c r="H54" s="7"/>
      <c r="I54" s="7"/>
      <c r="J54" s="7"/>
      <c r="K54" s="7"/>
      <c r="L54" s="7"/>
      <c r="M54" s="7"/>
      <c r="N54" s="7"/>
      <c r="O54" s="7"/>
      <c r="P54" s="7"/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</row>
    <row r="55" spans="1:52">
      <c r="A55" s="18">
        <v>53</v>
      </c>
      <c r="C55" s="17" t="str">
        <f t="shared" si="1"/>
        <v>정원</v>
      </c>
      <c r="D55" s="7" t="s">
        <v>276</v>
      </c>
      <c r="E55" s="7" t="s">
        <v>266</v>
      </c>
      <c r="F55" s="7" t="s">
        <v>270</v>
      </c>
      <c r="G55" s="7" t="s">
        <v>272</v>
      </c>
      <c r="H55" s="7"/>
      <c r="I55" s="7"/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</row>
    <row r="56" spans="1:52">
      <c r="D56" s="7"/>
      <c r="E56" s="7"/>
      <c r="G56" s="7"/>
    </row>
    <row r="57" spans="1:52">
      <c r="D57" s="7"/>
      <c r="E57" s="7"/>
      <c r="G57" s="7"/>
    </row>
    <row r="58" spans="1:52">
      <c r="D58" s="7"/>
      <c r="E58" s="7"/>
      <c r="G58" s="7"/>
    </row>
    <row r="59" spans="1:52">
      <c r="D59" s="7"/>
      <c r="E59" s="7"/>
      <c r="G59" s="7"/>
    </row>
    <row r="60" spans="1:52">
      <c r="D60" s="7"/>
      <c r="E60" s="7"/>
      <c r="G60" s="7"/>
    </row>
    <row r="61" spans="1:52" s="23" customFormat="1">
      <c r="A61" s="25" t="s">
        <v>277</v>
      </c>
      <c r="D61" s="24"/>
      <c r="E61" s="24"/>
      <c r="G61" s="24"/>
    </row>
    <row r="62" spans="1:52">
      <c r="D62" s="27" t="s">
        <v>278</v>
      </c>
      <c r="E62" s="29"/>
      <c r="F62" s="29"/>
      <c r="G62" s="30"/>
    </row>
    <row r="63" spans="1:52">
      <c r="D63" s="27" t="s">
        <v>279</v>
      </c>
      <c r="E63" s="28" t="s">
        <v>280</v>
      </c>
      <c r="F63" s="28" t="s">
        <v>243</v>
      </c>
      <c r="G63" s="28" t="s">
        <v>243</v>
      </c>
    </row>
    <row r="64" spans="1:52">
      <c r="D64" s="28" t="s">
        <v>281</v>
      </c>
      <c r="E64" s="28" t="s">
        <v>246</v>
      </c>
      <c r="F64" s="28" t="s">
        <v>282</v>
      </c>
      <c r="G64" s="28" t="s">
        <v>255</v>
      </c>
    </row>
    <row r="65" spans="4:7">
      <c r="D65" s="28" t="s">
        <v>248</v>
      </c>
      <c r="E65" s="28" t="s">
        <v>246</v>
      </c>
      <c r="F65" s="28" t="s">
        <v>282</v>
      </c>
      <c r="G65" s="28" t="s">
        <v>248</v>
      </c>
    </row>
    <row r="66" spans="4:7">
      <c r="D66" s="28" t="s">
        <v>250</v>
      </c>
      <c r="E66" s="28" t="s">
        <v>246</v>
      </c>
      <c r="F66" s="28" t="s">
        <v>282</v>
      </c>
      <c r="G66" s="28" t="s">
        <v>250</v>
      </c>
    </row>
    <row r="67" spans="4:7">
      <c r="D67" s="28" t="s">
        <v>257</v>
      </c>
      <c r="E67" s="28" t="s">
        <v>246</v>
      </c>
      <c r="F67" s="28" t="s">
        <v>254</v>
      </c>
      <c r="G67" s="28" t="s">
        <v>257</v>
      </c>
    </row>
    <row r="68" spans="4:7">
      <c r="D68" s="28" t="s">
        <v>268</v>
      </c>
      <c r="E68" s="28" t="s">
        <v>266</v>
      </c>
      <c r="F68" s="28" t="s">
        <v>267</v>
      </c>
      <c r="G68" s="28" t="s">
        <v>268</v>
      </c>
    </row>
    <row r="69" spans="4:7">
      <c r="D69" s="28" t="s">
        <v>269</v>
      </c>
      <c r="E69" s="28" t="s">
        <v>266</v>
      </c>
      <c r="F69" s="28" t="s">
        <v>267</v>
      </c>
      <c r="G69" s="28" t="s">
        <v>269</v>
      </c>
    </row>
    <row r="70" spans="4:7">
      <c r="D70" s="28" t="s">
        <v>272</v>
      </c>
      <c r="E70" s="28" t="s">
        <v>266</v>
      </c>
      <c r="F70" s="28" t="s">
        <v>270</v>
      </c>
      <c r="G70" s="28" t="s">
        <v>272</v>
      </c>
    </row>
    <row r="71" spans="4:7">
      <c r="G71" s="7"/>
    </row>
    <row r="72" spans="4:7">
      <c r="G72" s="7"/>
    </row>
    <row r="73" spans="4:7">
      <c r="G73" s="7"/>
    </row>
    <row r="74" spans="4:7">
      <c r="G74" s="7"/>
    </row>
    <row r="75" spans="4:7">
      <c r="G75" s="7"/>
    </row>
    <row r="76" spans="4:7">
      <c r="G76" s="7"/>
    </row>
    <row r="77" spans="4:7">
      <c r="D77" s="7"/>
      <c r="E77" s="7"/>
      <c r="G77" s="7"/>
    </row>
    <row r="78" spans="4:7">
      <c r="D78" s="7"/>
      <c r="E78" s="7"/>
      <c r="G78" s="7"/>
    </row>
    <row r="79" spans="4:7">
      <c r="D79" s="7"/>
      <c r="E79" s="7"/>
      <c r="G79" s="7"/>
    </row>
    <row r="80" spans="4:7">
      <c r="D80" s="7"/>
      <c r="E80" s="7"/>
      <c r="G80" s="7"/>
    </row>
    <row r="81" spans="4:7">
      <c r="D81" s="7"/>
      <c r="E81" s="7"/>
      <c r="G81" s="7"/>
    </row>
    <row r="82" spans="4:7">
      <c r="D82" s="7"/>
      <c r="E82" s="7"/>
      <c r="G82" s="7"/>
    </row>
  </sheetData>
  <autoFilter ref="A2:AZ55" xr:uid="{E67B077D-550F-4952-A5C2-991BBB3E6E79}"/>
  <phoneticPr fontId="1" type="noConversion"/>
  <conditionalFormatting sqref="J3:AZ5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2703-847D-4286-9971-AE8A722E4693}">
  <sheetPr>
    <tabColor theme="1"/>
  </sheetPr>
  <dimension ref="A1:AZ3"/>
  <sheetViews>
    <sheetView workbookViewId="0">
      <selection activeCell="I37" sqref="I37"/>
    </sheetView>
  </sheetViews>
  <sheetFormatPr defaultRowHeight="16.5"/>
  <cols>
    <col min="1" max="1" width="13.125" bestFit="1" customWidth="1"/>
    <col min="2" max="3" width="14.625" customWidth="1"/>
    <col min="4" max="4" width="12.125" customWidth="1"/>
    <col min="5" max="7" width="20.625" customWidth="1"/>
  </cols>
  <sheetData>
    <row r="1" spans="1:52" ht="27" customHeight="1">
      <c r="A1" s="2" t="s">
        <v>283</v>
      </c>
      <c r="B1" s="2" t="s">
        <v>238</v>
      </c>
      <c r="C1" s="2"/>
      <c r="D1" t="s">
        <v>54</v>
      </c>
      <c r="E1" s="1" t="s">
        <v>44</v>
      </c>
      <c r="F1" s="3">
        <v>0</v>
      </c>
      <c r="G1" s="1" t="s">
        <v>45</v>
      </c>
      <c r="H1" s="4">
        <v>45840</v>
      </c>
    </row>
    <row r="2" spans="1:52" ht="17.25" thickBot="1">
      <c r="A2" s="7" t="s">
        <v>56</v>
      </c>
      <c r="B2" s="8" t="s">
        <v>57</v>
      </c>
      <c r="C2" s="8" t="s">
        <v>59</v>
      </c>
      <c r="D2" s="8" t="s">
        <v>86</v>
      </c>
      <c r="E2" s="9" t="s">
        <v>60</v>
      </c>
      <c r="F2" s="9" t="s">
        <v>62</v>
      </c>
      <c r="G2" s="10" t="s">
        <v>61</v>
      </c>
      <c r="H2" s="11" t="s">
        <v>64</v>
      </c>
      <c r="I2" s="11" t="s">
        <v>65</v>
      </c>
      <c r="J2" s="12">
        <v>45833</v>
      </c>
      <c r="K2" s="12">
        <v>45863</v>
      </c>
      <c r="L2" s="12">
        <v>45894</v>
      </c>
      <c r="M2" s="12">
        <v>45925</v>
      </c>
      <c r="N2" s="12">
        <v>45955</v>
      </c>
      <c r="O2" s="12">
        <v>45986</v>
      </c>
      <c r="P2" s="12">
        <v>46016</v>
      </c>
      <c r="Q2" s="12">
        <v>45683</v>
      </c>
      <c r="R2" s="12">
        <v>45714</v>
      </c>
      <c r="S2" s="12">
        <v>45742</v>
      </c>
      <c r="T2" s="12">
        <v>45773</v>
      </c>
      <c r="U2" s="12">
        <v>45803</v>
      </c>
      <c r="V2" s="12">
        <v>45834</v>
      </c>
      <c r="W2" s="12">
        <v>45864</v>
      </c>
      <c r="X2" s="12">
        <v>45895</v>
      </c>
      <c r="Y2" s="12">
        <v>45926</v>
      </c>
      <c r="Z2" s="12">
        <v>45956</v>
      </c>
      <c r="AA2" s="12">
        <v>45987</v>
      </c>
      <c r="AB2" s="12">
        <v>46017</v>
      </c>
      <c r="AC2" s="12">
        <v>45684</v>
      </c>
      <c r="AD2" s="12">
        <v>45715</v>
      </c>
      <c r="AE2" s="12">
        <v>45743</v>
      </c>
      <c r="AF2" s="12">
        <v>45774</v>
      </c>
      <c r="AG2" s="12">
        <v>45804</v>
      </c>
      <c r="AH2" s="12">
        <v>45835</v>
      </c>
      <c r="AI2" s="12">
        <v>45865</v>
      </c>
      <c r="AJ2" s="12">
        <v>45896</v>
      </c>
      <c r="AK2" s="12">
        <v>45927</v>
      </c>
      <c r="AL2" s="12">
        <v>45957</v>
      </c>
      <c r="AM2" s="12">
        <v>45988</v>
      </c>
      <c r="AN2" s="12">
        <v>46018</v>
      </c>
      <c r="AO2" s="12">
        <v>45685</v>
      </c>
      <c r="AP2" s="12">
        <v>45716</v>
      </c>
      <c r="AQ2" s="12">
        <v>45744</v>
      </c>
      <c r="AR2" s="12">
        <v>45775</v>
      </c>
      <c r="AS2" s="12">
        <v>45805</v>
      </c>
      <c r="AT2" s="12">
        <v>45836</v>
      </c>
      <c r="AU2" s="12">
        <v>45866</v>
      </c>
      <c r="AV2" s="12">
        <v>45897</v>
      </c>
      <c r="AW2" s="12">
        <v>45928</v>
      </c>
      <c r="AX2" s="12">
        <v>45958</v>
      </c>
      <c r="AY2" s="12">
        <v>45989</v>
      </c>
      <c r="AZ2" s="13">
        <v>46019</v>
      </c>
    </row>
    <row r="3" spans="1:52" ht="17.25" thickTop="1">
      <c r="A3" s="18"/>
      <c r="B3" s="7"/>
      <c r="C3" s="1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7E6E-1A53-476A-BE2A-B469B82F0A39}">
  <sheetPr>
    <tabColor rgb="FFFF7C80"/>
  </sheetPr>
  <dimension ref="A1:BA17"/>
  <sheetViews>
    <sheetView topLeftCell="J1" zoomScaleNormal="100" workbookViewId="0">
      <selection activeCell="N21" sqref="N21"/>
    </sheetView>
  </sheetViews>
  <sheetFormatPr defaultColWidth="9" defaultRowHeight="16.5" outlineLevelCol="1"/>
  <cols>
    <col min="1" max="1" width="4.625" style="51" customWidth="1"/>
    <col min="2" max="2" width="13.625" style="51" bestFit="1" customWidth="1"/>
    <col min="3" max="3" width="13.625" style="51" hidden="1" customWidth="1"/>
    <col min="4" max="4" width="23.625" style="51" bestFit="1" customWidth="1"/>
    <col min="5" max="5" width="13.625" style="51" bestFit="1" customWidth="1"/>
    <col min="6" max="6" width="20.125" style="51" bestFit="1" customWidth="1"/>
    <col min="7" max="7" width="22.5" style="51" bestFit="1" customWidth="1"/>
    <col min="8" max="8" width="19.125" style="51" bestFit="1" customWidth="1"/>
    <col min="9" max="10" width="9" style="51"/>
    <col min="11" max="17" width="9" style="51" customWidth="1" outlineLevel="1"/>
    <col min="18" max="16384" width="9" style="51"/>
  </cols>
  <sheetData>
    <row r="1" spans="1:53" ht="27" customHeight="1">
      <c r="A1" s="72" t="s">
        <v>284</v>
      </c>
      <c r="B1" s="49" t="s">
        <v>285</v>
      </c>
      <c r="C1" s="49"/>
      <c r="D1" s="72"/>
      <c r="E1" s="51" t="s">
        <v>54</v>
      </c>
      <c r="F1" s="52" t="s">
        <v>44</v>
      </c>
      <c r="G1" s="53">
        <v>0</v>
      </c>
      <c r="H1" s="52" t="s">
        <v>45</v>
      </c>
      <c r="I1" s="54">
        <v>45840</v>
      </c>
      <c r="J1" s="83" t="s">
        <v>55</v>
      </c>
      <c r="K1" s="51">
        <f t="shared" ref="K1:BA1" si="0">SUM(K3:K1048576)</f>
        <v>3</v>
      </c>
      <c r="L1" s="51">
        <f t="shared" si="0"/>
        <v>4.3</v>
      </c>
      <c r="M1" s="51">
        <f t="shared" si="0"/>
        <v>5</v>
      </c>
      <c r="N1" s="51">
        <f t="shared" si="0"/>
        <v>4.5</v>
      </c>
      <c r="O1" s="51">
        <f t="shared" si="0"/>
        <v>6</v>
      </c>
      <c r="P1" s="51">
        <f t="shared" si="0"/>
        <v>7</v>
      </c>
      <c r="Q1" s="51">
        <f t="shared" si="0"/>
        <v>6.5</v>
      </c>
      <c r="R1" s="51">
        <f t="shared" si="0"/>
        <v>6.5</v>
      </c>
      <c r="S1" s="51">
        <f t="shared" si="0"/>
        <v>6.5</v>
      </c>
      <c r="T1" s="51">
        <f t="shared" si="0"/>
        <v>6.5</v>
      </c>
      <c r="U1" s="51">
        <f t="shared" si="0"/>
        <v>6.5</v>
      </c>
      <c r="V1" s="51">
        <f t="shared" si="0"/>
        <v>6.5</v>
      </c>
      <c r="W1" s="51">
        <f t="shared" si="0"/>
        <v>5.8</v>
      </c>
      <c r="X1" s="51">
        <f t="shared" si="0"/>
        <v>5.8</v>
      </c>
      <c r="Y1" s="51">
        <f t="shared" si="0"/>
        <v>5.8</v>
      </c>
      <c r="Z1" s="51">
        <f t="shared" si="0"/>
        <v>5.8</v>
      </c>
      <c r="AA1" s="51">
        <f t="shared" si="0"/>
        <v>5.8</v>
      </c>
      <c r="AB1" s="51">
        <f t="shared" si="0"/>
        <v>5.8</v>
      </c>
      <c r="AC1" s="51">
        <f t="shared" si="0"/>
        <v>5.8</v>
      </c>
      <c r="AD1" s="51">
        <f t="shared" si="0"/>
        <v>2.8</v>
      </c>
      <c r="AE1" s="51">
        <f t="shared" si="0"/>
        <v>2.8</v>
      </c>
      <c r="AF1" s="51">
        <f t="shared" si="0"/>
        <v>2.8</v>
      </c>
      <c r="AG1" s="51">
        <f t="shared" si="0"/>
        <v>2.8</v>
      </c>
      <c r="AH1" s="51">
        <f t="shared" si="0"/>
        <v>2.8</v>
      </c>
      <c r="AI1" s="51">
        <f t="shared" si="0"/>
        <v>2.8</v>
      </c>
      <c r="AJ1" s="51">
        <f t="shared" si="0"/>
        <v>2.8</v>
      </c>
      <c r="AK1" s="51">
        <f t="shared" si="0"/>
        <v>2.8</v>
      </c>
      <c r="AL1" s="51">
        <f t="shared" si="0"/>
        <v>2.8</v>
      </c>
      <c r="AM1" s="51">
        <f t="shared" si="0"/>
        <v>2.8</v>
      </c>
      <c r="AN1" s="51">
        <f t="shared" si="0"/>
        <v>2.8</v>
      </c>
      <c r="AO1" s="51">
        <f t="shared" si="0"/>
        <v>2.8</v>
      </c>
      <c r="AP1" s="51">
        <f t="shared" si="0"/>
        <v>2.8</v>
      </c>
      <c r="AQ1" s="51">
        <f t="shared" si="0"/>
        <v>2.8</v>
      </c>
      <c r="AR1" s="51">
        <f t="shared" si="0"/>
        <v>2.8</v>
      </c>
      <c r="AS1" s="51">
        <f t="shared" si="0"/>
        <v>2.8</v>
      </c>
      <c r="AT1" s="51">
        <f t="shared" si="0"/>
        <v>2.8</v>
      </c>
      <c r="AU1" s="51">
        <f t="shared" si="0"/>
        <v>2.8</v>
      </c>
      <c r="AV1" s="51">
        <f t="shared" si="0"/>
        <v>2.8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>
      <c r="A2" s="55" t="s">
        <v>56</v>
      </c>
      <c r="B2" s="56" t="s">
        <v>57</v>
      </c>
      <c r="C2" s="86" t="s">
        <v>208</v>
      </c>
      <c r="D2" s="57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286</v>
      </c>
      <c r="J2" s="58" t="s">
        <v>287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Planning</v>
      </c>
      <c r="D3" s="75" t="s">
        <v>138</v>
      </c>
      <c r="E3" s="62" t="str">
        <f>IF($H3=0,"",VLOOKUP($H3,정원!$D:$G,2,FALSE))</f>
        <v>NPI IS</v>
      </c>
      <c r="F3" s="62" t="str">
        <f>IF($H3=0,"",VLOOKUP($H3,정원!$D:$G,3,FALSE))</f>
        <v>System □</v>
      </c>
      <c r="G3" s="62" t="str">
        <f>IF($H3=0,"",VLOOKUP($H3,정원!$D:$G,4,FALSE))</f>
        <v>System engineer</v>
      </c>
      <c r="H3" s="65" t="s">
        <v>71</v>
      </c>
      <c r="I3" s="61"/>
      <c r="J3" s="67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Complete</v>
      </c>
      <c r="D4" s="75" t="s">
        <v>142</v>
      </c>
      <c r="E4" s="62" t="str">
        <f>IF($H4=0,"",VLOOKUP($H4,정원!$D:$G,2,FALSE))</f>
        <v>Control Eng.</v>
      </c>
      <c r="F4" s="62" t="str">
        <f>IF($H4=0,"",VLOOKUP($H4,정원!$D:$G,3,FALSE))</f>
        <v>Software</v>
      </c>
      <c r="G4" s="62" t="str">
        <f>IF($H4=0,"",VLOOKUP($H4,정원!$D:$G,4,FALSE))</f>
        <v>Software engineer</v>
      </c>
      <c r="H4" s="159" t="s">
        <v>171</v>
      </c>
      <c r="I4" s="61"/>
      <c r="J4" s="67"/>
      <c r="K4" s="61">
        <v>0</v>
      </c>
      <c r="L4" s="61">
        <v>0.3</v>
      </c>
      <c r="M4" s="61">
        <v>1</v>
      </c>
      <c r="N4" s="61">
        <v>1</v>
      </c>
      <c r="O4" s="61">
        <v>1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>
        <v>0.5</v>
      </c>
      <c r="AG4" s="61">
        <v>0.5</v>
      </c>
      <c r="AH4" s="61">
        <v>0.5</v>
      </c>
      <c r="AI4" s="61">
        <v>0.5</v>
      </c>
      <c r="AJ4" s="61">
        <v>0.5</v>
      </c>
      <c r="AK4" s="61">
        <v>0.5</v>
      </c>
      <c r="AL4" s="61">
        <v>0.5</v>
      </c>
      <c r="AM4" s="61">
        <v>0.5</v>
      </c>
      <c r="AN4" s="61">
        <v>0.5</v>
      </c>
      <c r="AO4" s="61">
        <v>0.5</v>
      </c>
      <c r="AP4" s="61">
        <v>0.5</v>
      </c>
      <c r="AQ4" s="61">
        <v>0.5</v>
      </c>
      <c r="AR4" s="61">
        <v>0.5</v>
      </c>
      <c r="AS4" s="61">
        <v>0.5</v>
      </c>
      <c r="AT4" s="61">
        <v>0.5</v>
      </c>
      <c r="AU4" s="61">
        <v>0.5</v>
      </c>
      <c r="AV4" s="61">
        <v>0.5</v>
      </c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Complete</v>
      </c>
      <c r="D5" s="75" t="s">
        <v>142</v>
      </c>
      <c r="E5" s="62" t="str">
        <f>IF($H5=0,"",VLOOKUP($H5,정원!$D:$G,2,FALSE))</f>
        <v>Control Eng.</v>
      </c>
      <c r="F5" s="62" t="str">
        <f>IF($H5=0,"",VLOOKUP($H5,정원!$D:$G,3,FALSE))</f>
        <v>Software</v>
      </c>
      <c r="G5" s="62" t="str">
        <f>IF($H5=0,"",VLOOKUP($H5,정원!$D:$G,4,FALSE))</f>
        <v>Software engineer</v>
      </c>
      <c r="H5" s="159" t="s">
        <v>173</v>
      </c>
      <c r="I5" s="61"/>
      <c r="J5" s="67"/>
      <c r="K5" s="61">
        <f t="shared" ref="K5:AE5" si="1">1-K9</f>
        <v>1</v>
      </c>
      <c r="L5" s="61">
        <f t="shared" si="1"/>
        <v>1</v>
      </c>
      <c r="M5" s="61">
        <f t="shared" si="1"/>
        <v>1</v>
      </c>
      <c r="N5" s="61">
        <f t="shared" si="1"/>
        <v>1</v>
      </c>
      <c r="O5" s="61">
        <f t="shared" si="1"/>
        <v>0.5</v>
      </c>
      <c r="P5" s="61">
        <f t="shared" si="1"/>
        <v>0.5</v>
      </c>
      <c r="Q5" s="61">
        <f t="shared" si="1"/>
        <v>0.5</v>
      </c>
      <c r="R5" s="61">
        <f t="shared" si="1"/>
        <v>0.5</v>
      </c>
      <c r="S5" s="61">
        <f t="shared" si="1"/>
        <v>0.5</v>
      </c>
      <c r="T5" s="61">
        <f t="shared" si="1"/>
        <v>0.5</v>
      </c>
      <c r="U5" s="61">
        <f t="shared" si="1"/>
        <v>0.5</v>
      </c>
      <c r="V5" s="61">
        <f t="shared" si="1"/>
        <v>0.5</v>
      </c>
      <c r="W5" s="61">
        <f t="shared" si="1"/>
        <v>1</v>
      </c>
      <c r="X5" s="61">
        <f t="shared" si="1"/>
        <v>1</v>
      </c>
      <c r="Y5" s="61">
        <f t="shared" si="1"/>
        <v>1</v>
      </c>
      <c r="Z5" s="61">
        <f t="shared" si="1"/>
        <v>1</v>
      </c>
      <c r="AA5" s="61">
        <f t="shared" si="1"/>
        <v>1</v>
      </c>
      <c r="AB5" s="61">
        <f t="shared" si="1"/>
        <v>1</v>
      </c>
      <c r="AC5" s="61">
        <f t="shared" si="1"/>
        <v>1</v>
      </c>
      <c r="AD5" s="61">
        <f t="shared" si="1"/>
        <v>1</v>
      </c>
      <c r="AE5" s="61">
        <f t="shared" si="1"/>
        <v>1</v>
      </c>
      <c r="AF5" s="61">
        <v>0.5</v>
      </c>
      <c r="AG5" s="61">
        <v>0.5</v>
      </c>
      <c r="AH5" s="61">
        <v>0.5</v>
      </c>
      <c r="AI5" s="61">
        <v>0.5</v>
      </c>
      <c r="AJ5" s="61">
        <v>0.5</v>
      </c>
      <c r="AK5" s="61">
        <v>0.5</v>
      </c>
      <c r="AL5" s="61">
        <v>0.5</v>
      </c>
      <c r="AM5" s="61">
        <v>0.5</v>
      </c>
      <c r="AN5" s="61">
        <v>0.5</v>
      </c>
      <c r="AO5" s="61">
        <v>0.5</v>
      </c>
      <c r="AP5" s="61">
        <v>0.5</v>
      </c>
      <c r="AQ5" s="61">
        <v>0.5</v>
      </c>
      <c r="AR5" s="61">
        <v>0.5</v>
      </c>
      <c r="AS5" s="61">
        <v>0.5</v>
      </c>
      <c r="AT5" s="61">
        <v>0.5</v>
      </c>
      <c r="AU5" s="61">
        <v>0.5</v>
      </c>
      <c r="AV5" s="61">
        <v>0.5</v>
      </c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Complete</v>
      </c>
      <c r="D6" s="75" t="s">
        <v>142</v>
      </c>
      <c r="E6" s="62" t="str">
        <f>IF($H6=0,"",VLOOKUP($H6,정원!$D:$G,2,FALSE))</f>
        <v>Control Eng.</v>
      </c>
      <c r="F6" s="62" t="str">
        <f>IF($H6=0,"",VLOOKUP($H6,정원!$D:$G,3,FALSE))</f>
        <v>Software</v>
      </c>
      <c r="G6" s="62" t="str">
        <f>IF($H6=0,"",VLOOKUP($H6,정원!$D:$G,4,FALSE))</f>
        <v>SW test engineer</v>
      </c>
      <c r="H6" s="159" t="s">
        <v>176</v>
      </c>
      <c r="I6" s="61"/>
      <c r="J6" s="67"/>
      <c r="K6" s="61">
        <v>1</v>
      </c>
      <c r="L6" s="61">
        <v>1</v>
      </c>
      <c r="M6" s="61">
        <v>0.9</v>
      </c>
      <c r="N6" s="61">
        <v>0.7</v>
      </c>
      <c r="O6" s="61">
        <v>0.5</v>
      </c>
      <c r="P6" s="61">
        <v>0.5</v>
      </c>
      <c r="Q6" s="61">
        <v>0.5</v>
      </c>
      <c r="R6" s="61">
        <v>0.5</v>
      </c>
      <c r="S6" s="61">
        <v>0.5</v>
      </c>
      <c r="T6" s="61">
        <v>0.5</v>
      </c>
      <c r="U6" s="61">
        <v>0.5</v>
      </c>
      <c r="V6" s="61">
        <v>0.5</v>
      </c>
      <c r="W6" s="61">
        <v>0.5</v>
      </c>
      <c r="X6" s="61">
        <v>0.5</v>
      </c>
      <c r="Y6" s="61">
        <v>0.5</v>
      </c>
      <c r="Z6" s="61">
        <v>0.5</v>
      </c>
      <c r="AA6" s="61">
        <v>0.5</v>
      </c>
      <c r="AB6" s="61">
        <v>0.5</v>
      </c>
      <c r="AC6" s="61">
        <v>0.5</v>
      </c>
      <c r="AD6" s="61">
        <v>0.5</v>
      </c>
      <c r="AE6" s="61">
        <v>0.5</v>
      </c>
      <c r="AF6" s="61">
        <v>0.5</v>
      </c>
      <c r="AG6" s="61">
        <v>0.5</v>
      </c>
      <c r="AH6" s="61">
        <v>0.5</v>
      </c>
      <c r="AI6" s="61">
        <v>0.5</v>
      </c>
      <c r="AJ6" s="61">
        <v>0.5</v>
      </c>
      <c r="AK6" s="61">
        <v>0.5</v>
      </c>
      <c r="AL6" s="61">
        <v>0.5</v>
      </c>
      <c r="AM6" s="61">
        <v>0.5</v>
      </c>
      <c r="AN6" s="61">
        <v>0.5</v>
      </c>
      <c r="AO6" s="61">
        <v>0.5</v>
      </c>
      <c r="AP6" s="61">
        <v>0.5</v>
      </c>
      <c r="AQ6" s="61">
        <v>0.5</v>
      </c>
      <c r="AR6" s="61">
        <v>0.5</v>
      </c>
      <c r="AS6" s="61">
        <v>0.5</v>
      </c>
      <c r="AT6" s="61">
        <v>0.5</v>
      </c>
      <c r="AU6" s="61">
        <v>0.5</v>
      </c>
      <c r="AV6" s="61">
        <v>0.5</v>
      </c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Complete</v>
      </c>
      <c r="D7" s="75" t="s">
        <v>142</v>
      </c>
      <c r="E7" s="62" t="str">
        <f>IF($H7=0,"",VLOOKUP($H7,정원!$D:$G,2,FALSE))</f>
        <v>Control Eng.</v>
      </c>
      <c r="F7" s="62" t="str">
        <f>IF($H7=0,"",VLOOKUP($H7,정원!$D:$G,3,FALSE))</f>
        <v>Software</v>
      </c>
      <c r="G7" s="62" t="str">
        <f>IF($H7=0,"",VLOOKUP($H7,정원!$D:$G,4,FALSE))</f>
        <v>Software engineer</v>
      </c>
      <c r="H7" s="159" t="s">
        <v>174</v>
      </c>
      <c r="I7" s="61"/>
      <c r="J7" s="67"/>
      <c r="K7" s="61">
        <v>0.5</v>
      </c>
      <c r="L7" s="61">
        <v>0.5</v>
      </c>
      <c r="M7" s="61">
        <v>0.5</v>
      </c>
      <c r="N7" s="61">
        <v>0.5</v>
      </c>
      <c r="O7" s="61">
        <v>0.5</v>
      </c>
      <c r="P7" s="61">
        <v>1</v>
      </c>
      <c r="Q7" s="61">
        <v>1</v>
      </c>
      <c r="R7" s="61">
        <v>1</v>
      </c>
      <c r="S7" s="61">
        <v>1</v>
      </c>
      <c r="T7" s="61">
        <v>1</v>
      </c>
      <c r="U7" s="61">
        <v>1</v>
      </c>
      <c r="V7" s="61">
        <v>1</v>
      </c>
      <c r="W7" s="61">
        <v>0.5</v>
      </c>
      <c r="X7" s="61">
        <v>0.5</v>
      </c>
      <c r="Y7" s="61">
        <v>0.5</v>
      </c>
      <c r="Z7" s="61">
        <v>0.5</v>
      </c>
      <c r="AA7" s="61">
        <v>0.5</v>
      </c>
      <c r="AB7" s="61">
        <v>0.5</v>
      </c>
      <c r="AC7" s="61">
        <v>0.5</v>
      </c>
      <c r="AD7" s="61">
        <v>0.5</v>
      </c>
      <c r="AE7" s="61">
        <v>0.5</v>
      </c>
      <c r="AF7" s="61">
        <v>0.5</v>
      </c>
      <c r="AG7" s="61">
        <v>0.5</v>
      </c>
      <c r="AH7" s="61">
        <v>0.5</v>
      </c>
      <c r="AI7" s="61">
        <v>0.5</v>
      </c>
      <c r="AJ7" s="61">
        <v>0.5</v>
      </c>
      <c r="AK7" s="61">
        <v>0.5</v>
      </c>
      <c r="AL7" s="61">
        <v>0.5</v>
      </c>
      <c r="AM7" s="61">
        <v>0.5</v>
      </c>
      <c r="AN7" s="61">
        <v>0.5</v>
      </c>
      <c r="AO7" s="61">
        <v>0.5</v>
      </c>
      <c r="AP7" s="61">
        <v>0.5</v>
      </c>
      <c r="AQ7" s="61">
        <v>0.5</v>
      </c>
      <c r="AR7" s="61">
        <v>0.5</v>
      </c>
      <c r="AS7" s="61">
        <v>0.5</v>
      </c>
      <c r="AT7" s="61">
        <v>0.5</v>
      </c>
      <c r="AU7" s="61">
        <v>0.5</v>
      </c>
      <c r="AV7" s="61">
        <v>0.5</v>
      </c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Planning</v>
      </c>
      <c r="D8" s="75" t="s">
        <v>145</v>
      </c>
      <c r="E8" s="62" t="str">
        <f>IF($H8=0,"",VLOOKUP($H8,정원!$D:$G,2,FALSE))</f>
        <v>Control Eng.</v>
      </c>
      <c r="F8" s="62" t="str">
        <f>IF($H8=0,"",VLOOKUP($H8,정원!$D:$G,3,FALSE))</f>
        <v>Software</v>
      </c>
      <c r="G8" s="62" t="str">
        <f>IF($H8=0,"",VLOOKUP($H8,정원!$D:$G,4,FALSE))</f>
        <v>Leader</v>
      </c>
      <c r="H8" s="68" t="s">
        <v>76</v>
      </c>
      <c r="I8" s="61"/>
      <c r="J8" s="67"/>
      <c r="K8" s="61">
        <v>0.3</v>
      </c>
      <c r="L8" s="61">
        <v>0.3</v>
      </c>
      <c r="M8" s="61">
        <v>0.3</v>
      </c>
      <c r="N8" s="61">
        <v>0.3</v>
      </c>
      <c r="O8" s="61">
        <v>0.5</v>
      </c>
      <c r="P8" s="61">
        <v>0.5</v>
      </c>
      <c r="Q8" s="61">
        <v>0.5</v>
      </c>
      <c r="R8" s="61">
        <v>0.5</v>
      </c>
      <c r="S8" s="61">
        <v>0.5</v>
      </c>
      <c r="T8" s="61">
        <v>0.5</v>
      </c>
      <c r="U8" s="61">
        <v>0.5</v>
      </c>
      <c r="V8" s="61">
        <v>0.5</v>
      </c>
      <c r="W8" s="61">
        <v>0.3</v>
      </c>
      <c r="X8" s="61">
        <v>0.3</v>
      </c>
      <c r="Y8" s="61">
        <v>0.3</v>
      </c>
      <c r="Z8" s="61">
        <v>0.3</v>
      </c>
      <c r="AA8" s="61">
        <v>0.3</v>
      </c>
      <c r="AB8" s="61">
        <v>0.3</v>
      </c>
      <c r="AC8" s="61">
        <v>0.3</v>
      </c>
      <c r="AD8" s="61">
        <v>0.3</v>
      </c>
      <c r="AE8" s="61">
        <v>0.3</v>
      </c>
      <c r="AF8" s="61">
        <v>0.3</v>
      </c>
      <c r="AG8" s="61">
        <v>0.3</v>
      </c>
      <c r="AH8" s="61">
        <v>0.3</v>
      </c>
      <c r="AI8" s="61">
        <v>0.3</v>
      </c>
      <c r="AJ8" s="61">
        <v>0.3</v>
      </c>
      <c r="AK8" s="61">
        <v>0.3</v>
      </c>
      <c r="AL8" s="61">
        <v>0.3</v>
      </c>
      <c r="AM8" s="61">
        <v>0.3</v>
      </c>
      <c r="AN8" s="61">
        <v>0.3</v>
      </c>
      <c r="AO8" s="61">
        <v>0.3</v>
      </c>
      <c r="AP8" s="61">
        <v>0.3</v>
      </c>
      <c r="AQ8" s="61">
        <v>0.3</v>
      </c>
      <c r="AR8" s="61">
        <v>0.3</v>
      </c>
      <c r="AS8" s="61">
        <v>0.3</v>
      </c>
      <c r="AT8" s="61">
        <v>0.3</v>
      </c>
      <c r="AU8" s="61">
        <v>0.3</v>
      </c>
      <c r="AV8" s="61">
        <v>0.3</v>
      </c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Planning</v>
      </c>
      <c r="D9" s="75" t="s">
        <v>145</v>
      </c>
      <c r="E9" s="62" t="str">
        <f>IF($H9=0,"",VLOOKUP($H9,정원!$D:$G,2,FALSE))</f>
        <v>Control Eng.</v>
      </c>
      <c r="F9" s="62" t="str">
        <f>IF($H9=0,"",VLOOKUP($H9,정원!$D:$G,3,FALSE))</f>
        <v>Software</v>
      </c>
      <c r="G9" s="62" t="str">
        <f>IF($H9=0,"",VLOOKUP($H9,정원!$D:$G,4,FALSE))</f>
        <v>Software engineer</v>
      </c>
      <c r="H9" s="68" t="s">
        <v>173</v>
      </c>
      <c r="I9" s="61"/>
      <c r="J9" s="67"/>
      <c r="K9" s="61"/>
      <c r="L9" s="61"/>
      <c r="M9" s="61"/>
      <c r="N9" s="61"/>
      <c r="O9" s="61">
        <v>0.5</v>
      </c>
      <c r="P9" s="61">
        <v>0.5</v>
      </c>
      <c r="Q9" s="61">
        <v>0.5</v>
      </c>
      <c r="R9" s="61">
        <v>0.5</v>
      </c>
      <c r="S9" s="61">
        <v>0.5</v>
      </c>
      <c r="T9" s="61">
        <v>0.5</v>
      </c>
      <c r="U9" s="61">
        <v>0.5</v>
      </c>
      <c r="V9" s="61">
        <v>0.5</v>
      </c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Planning</v>
      </c>
      <c r="D10" s="75" t="s">
        <v>145</v>
      </c>
      <c r="E10" s="62" t="str">
        <f>IF($H10=0,"",VLOOKUP($H10,정원!$D:$G,2,FALSE))</f>
        <v>Control Eng.</v>
      </c>
      <c r="F10" s="62" t="str">
        <f>IF($H10=0,"",VLOOKUP($H10,정원!$D:$G,3,FALSE))</f>
        <v>Software</v>
      </c>
      <c r="G10" s="62" t="str">
        <f>IF($H10=0,"",VLOOKUP($H10,정원!$D:$G,4,FALSE))</f>
        <v>SW test engineer</v>
      </c>
      <c r="H10" s="68" t="s">
        <v>176</v>
      </c>
      <c r="I10" s="61"/>
      <c r="J10" s="67"/>
      <c r="K10" s="61"/>
      <c r="L10" s="61"/>
      <c r="M10" s="61">
        <v>0.1</v>
      </c>
      <c r="N10" s="61">
        <v>0.3</v>
      </c>
      <c r="O10" s="61">
        <v>0.5</v>
      </c>
      <c r="P10" s="61">
        <v>0.5</v>
      </c>
      <c r="Q10" s="61">
        <v>0.5</v>
      </c>
      <c r="R10" s="61">
        <v>0.5</v>
      </c>
      <c r="S10" s="61">
        <v>0.5</v>
      </c>
      <c r="T10" s="61">
        <v>0.5</v>
      </c>
      <c r="U10" s="61">
        <v>0.5</v>
      </c>
      <c r="V10" s="61">
        <v>0.5</v>
      </c>
      <c r="W10" s="61">
        <v>0.5</v>
      </c>
      <c r="X10" s="61">
        <v>0.5</v>
      </c>
      <c r="Y10" s="61">
        <v>0.5</v>
      </c>
      <c r="Z10" s="61">
        <v>0.5</v>
      </c>
      <c r="AA10" s="61">
        <v>0.5</v>
      </c>
      <c r="AB10" s="61">
        <v>0.5</v>
      </c>
      <c r="AC10" s="61">
        <v>0.5</v>
      </c>
      <c r="AD10" s="61">
        <v>0.5</v>
      </c>
      <c r="AE10" s="61">
        <v>0.5</v>
      </c>
      <c r="AF10" s="61">
        <v>0.5</v>
      </c>
      <c r="AG10" s="61">
        <v>0.5</v>
      </c>
      <c r="AH10" s="61">
        <v>0.5</v>
      </c>
      <c r="AI10" s="61">
        <v>0.5</v>
      </c>
      <c r="AJ10" s="61">
        <v>0.5</v>
      </c>
      <c r="AK10" s="61">
        <v>0.5</v>
      </c>
      <c r="AL10" s="61">
        <v>0.5</v>
      </c>
      <c r="AM10" s="61">
        <v>0.5</v>
      </c>
      <c r="AN10" s="61">
        <v>0.5</v>
      </c>
      <c r="AO10" s="61">
        <v>0.5</v>
      </c>
      <c r="AP10" s="61">
        <v>0.5</v>
      </c>
      <c r="AQ10" s="61">
        <v>0.5</v>
      </c>
      <c r="AR10" s="61">
        <v>0.5</v>
      </c>
      <c r="AS10" s="61">
        <v>0.5</v>
      </c>
      <c r="AT10" s="61">
        <v>0.5</v>
      </c>
      <c r="AU10" s="61">
        <v>0.5</v>
      </c>
      <c r="AV10" s="61">
        <v>0.5</v>
      </c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Complete</v>
      </c>
      <c r="D11" s="75" t="s">
        <v>142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Technician</v>
      </c>
      <c r="H11" s="65" t="s">
        <v>186</v>
      </c>
      <c r="I11" s="61"/>
      <c r="J11" s="67"/>
      <c r="K11" s="61">
        <v>0.2</v>
      </c>
      <c r="L11" s="61">
        <v>0.2</v>
      </c>
      <c r="M11" s="61">
        <v>0.2</v>
      </c>
      <c r="N11" s="61">
        <v>0.2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Lead</v>
      </c>
      <c r="D12" s="75" t="s">
        <v>137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Mechanical engineer</v>
      </c>
      <c r="H12" s="61" t="s">
        <v>259</v>
      </c>
      <c r="I12" s="61"/>
      <c r="J12" s="61"/>
      <c r="K12" s="61"/>
      <c r="L12" s="61">
        <v>1</v>
      </c>
      <c r="M12" s="61">
        <v>1</v>
      </c>
      <c r="N12" s="61">
        <v>0.5</v>
      </c>
      <c r="O12" s="61">
        <v>0.5</v>
      </c>
      <c r="P12" s="61">
        <v>0.5</v>
      </c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</row>
    <row r="13" spans="1:53">
      <c r="A13" s="61">
        <v>11</v>
      </c>
      <c r="B13" s="141" t="str">
        <f>IF($D13=0,"",VLOOKUP($D13,'Project IO'!$B:$E,3,FALSE))</f>
        <v>Cancelled</v>
      </c>
      <c r="C13" s="141" t="str">
        <f>IF($D13=0,"",VLOOKUP($D13,'Project IO'!$B:$E,4,FALSE))</f>
        <v>Cancelled</v>
      </c>
      <c r="D13" s="75" t="s">
        <v>228</v>
      </c>
      <c r="E13" s="62" t="str">
        <f>IF($H13=0,"",VLOOKUP($H13,정원!$D:$G,2,FALSE))</f>
        <v>Control Eng.</v>
      </c>
      <c r="F13" s="62" t="str">
        <f>IF($H13=0,"",VLOOKUP($H13,정원!$D:$G,3,FALSE))</f>
        <v>Software</v>
      </c>
      <c r="G13" s="62" t="str">
        <f>IF($H13=0,"",VLOOKUP($H13,정원!$D:$G,4,FALSE))</f>
        <v>Software engineer</v>
      </c>
      <c r="H13" s="65" t="s">
        <v>174</v>
      </c>
      <c r="I13" s="61"/>
      <c r="J13" s="61"/>
      <c r="K13" s="61"/>
      <c r="L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</row>
    <row r="14" spans="1:53">
      <c r="A14" s="61">
        <v>12</v>
      </c>
      <c r="B14" s="141" t="str">
        <f>IF($D14=0,"",VLOOKUP($D14,'Project IO'!$B:$E,3,FALSE))</f>
        <v>Cancelled</v>
      </c>
      <c r="C14" s="141" t="str">
        <f>IF($D14=0,"",VLOOKUP($D14,'Project IO'!$B:$E,4,FALSE))</f>
        <v>Cancelled</v>
      </c>
      <c r="D14" s="75" t="s">
        <v>228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SW test engineer</v>
      </c>
      <c r="H14" s="65" t="s">
        <v>178</v>
      </c>
      <c r="I14" s="61"/>
      <c r="J14" s="61"/>
      <c r="K14" s="61"/>
      <c r="L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</row>
    <row r="15" spans="1:53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75" t="s">
        <v>147</v>
      </c>
      <c r="E15" s="62" t="str">
        <f>IF($H15=0,"",VLOOKUP($H15,정원!$D:$G,2,FALSE))</f>
        <v>NPI IS</v>
      </c>
      <c r="F15" s="62" t="str">
        <f>IF($H15=0,"",VLOOKUP($H15,정원!$D:$G,3,FALSE))</f>
        <v>System 3</v>
      </c>
      <c r="G15" s="62" t="str">
        <f>IF($H15=0,"",VLOOKUP($H15,정원!$D:$G,4,FALSE))</f>
        <v>Tech Lead</v>
      </c>
      <c r="H15" s="65" t="s">
        <v>201</v>
      </c>
      <c r="O15" s="51">
        <v>0.5</v>
      </c>
      <c r="P15" s="51">
        <v>1</v>
      </c>
      <c r="Q15" s="51">
        <v>1</v>
      </c>
      <c r="R15" s="51">
        <v>1</v>
      </c>
      <c r="S15" s="51">
        <v>1</v>
      </c>
      <c r="T15" s="51">
        <v>1</v>
      </c>
      <c r="U15" s="51">
        <v>1</v>
      </c>
      <c r="V15" s="51">
        <v>1</v>
      </c>
      <c r="W15" s="51">
        <v>1</v>
      </c>
      <c r="X15" s="51">
        <v>1</v>
      </c>
      <c r="Y15" s="51">
        <v>1</v>
      </c>
      <c r="Z15" s="51">
        <v>1</v>
      </c>
      <c r="AA15" s="51">
        <v>1</v>
      </c>
      <c r="AB15" s="51">
        <v>1</v>
      </c>
      <c r="AC15" s="51">
        <v>1</v>
      </c>
    </row>
    <row r="16" spans="1:53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75" t="s">
        <v>147</v>
      </c>
      <c r="E16" s="62" t="str">
        <f>IF($H16=0,"",VLOOKUP($H16,정원!$D:$G,2,FALSE))</f>
        <v>NPI IS</v>
      </c>
      <c r="F16" s="62" t="str">
        <f>IF($H16=0,"",VLOOKUP($H16,정원!$D:$G,3,FALSE))</f>
        <v>System 1</v>
      </c>
      <c r="G16" s="62" t="str">
        <f>IF($H16=0,"",VLOOKUP($H16,정원!$D:$G,4,FALSE))</f>
        <v>System engineer</v>
      </c>
      <c r="H16" s="65" t="s">
        <v>185</v>
      </c>
      <c r="O16" s="51">
        <v>0.5</v>
      </c>
      <c r="P16" s="51">
        <v>1</v>
      </c>
      <c r="Q16" s="51">
        <v>1</v>
      </c>
      <c r="R16" s="51">
        <v>1</v>
      </c>
      <c r="S16" s="51">
        <v>1</v>
      </c>
      <c r="T16" s="51">
        <v>1</v>
      </c>
      <c r="U16" s="51">
        <v>1</v>
      </c>
      <c r="V16" s="51">
        <v>1</v>
      </c>
      <c r="W16" s="51">
        <v>1</v>
      </c>
      <c r="X16" s="51">
        <v>1</v>
      </c>
      <c r="Y16" s="51">
        <v>1</v>
      </c>
      <c r="Z16" s="51">
        <v>1</v>
      </c>
      <c r="AA16" s="51">
        <v>1</v>
      </c>
      <c r="AB16" s="51">
        <v>1</v>
      </c>
      <c r="AC16" s="51">
        <v>1</v>
      </c>
    </row>
    <row r="17" spans="1:29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75" t="s">
        <v>147</v>
      </c>
      <c r="E17" s="62" t="str">
        <f>IF($H17=0,"",VLOOKUP($H17,정원!$D:$G,2,FALSE))</f>
        <v>NPI IS</v>
      </c>
      <c r="F17" s="62" t="str">
        <f>IF($H17=0,"",VLOOKUP($H17,정원!$D:$G,3,FALSE))</f>
        <v>System 1</v>
      </c>
      <c r="G17" s="62" t="str">
        <f>IF($H17=0,"",VLOOKUP($H17,정원!$D:$G,4,FALSE))</f>
        <v>Service engineer</v>
      </c>
      <c r="H17" s="65" t="s">
        <v>181</v>
      </c>
      <c r="O17" s="51">
        <v>0.5</v>
      </c>
      <c r="P17" s="51">
        <v>1</v>
      </c>
      <c r="Q17" s="51">
        <v>1</v>
      </c>
      <c r="R17" s="51">
        <v>1</v>
      </c>
      <c r="S17" s="51">
        <v>1</v>
      </c>
      <c r="T17" s="51">
        <v>1</v>
      </c>
      <c r="U17" s="51">
        <v>1</v>
      </c>
      <c r="V17" s="51">
        <v>1</v>
      </c>
      <c r="W17" s="51">
        <v>1</v>
      </c>
      <c r="X17" s="51">
        <v>1</v>
      </c>
      <c r="Y17" s="51">
        <v>1</v>
      </c>
      <c r="Z17" s="51">
        <v>1</v>
      </c>
      <c r="AA17" s="51">
        <v>1</v>
      </c>
      <c r="AB17" s="51">
        <v>1</v>
      </c>
      <c r="AC17" s="51">
        <v>1</v>
      </c>
    </row>
  </sheetData>
  <phoneticPr fontId="1" type="noConversion"/>
  <dataValidations count="2">
    <dataValidation type="list" allowBlank="1" showInputMessage="1" showErrorMessage="1" sqref="E18:E1048576" xr:uid="{30C17BDC-F3DF-4DAE-A1B3-EB3B7111EC16}">
      <formula1>"Engineering, PMO, System engineering, Control Engineering"</formula1>
    </dataValidation>
    <dataValidation type="list" allowBlank="1" showInputMessage="1" showErrorMessage="1" sqref="F18:F1048576" xr:uid="{550CCBDA-6C68-45DE-B708-7D2F1C9165D2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E00043-0DFD-48F1-8C46-8FAB7E5F93F5}">
          <x14:formula1>
            <xm:f>'Project IO'!$B$4:$B$101</xm:f>
          </x14:formula1>
          <xm:sqref>D3:D17</xm:sqref>
        </x14:dataValidation>
        <x14:dataValidation type="list" allowBlank="1" showInputMessage="1" showErrorMessage="1" xr:uid="{CAF77954-780A-4043-9684-464FB938728C}">
          <x14:formula1>
            <xm:f>정원!$D:$D</xm:f>
          </x14:formula1>
          <xm:sqref>H3:H1048576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14AC-C996-4A54-88ED-3EE7DFEF7BE5}">
  <sheetPr>
    <tabColor theme="6" tint="0.79998168889431442"/>
  </sheetPr>
  <dimension ref="A1:BA28"/>
  <sheetViews>
    <sheetView workbookViewId="0">
      <pane ySplit="2" topLeftCell="A14" activePane="bottomLeft" state="frozen"/>
      <selection pane="bottomLeft" activeCell="F32" sqref="F32"/>
      <selection activeCell="C6" sqref="C6"/>
    </sheetView>
  </sheetViews>
  <sheetFormatPr defaultColWidth="9" defaultRowHeight="16.5" outlineLevelCol="1"/>
  <cols>
    <col min="1" max="1" width="13.125" style="51" bestFit="1" customWidth="1"/>
    <col min="2" max="2" width="8.5" style="51" bestFit="1" customWidth="1"/>
    <col min="3" max="4" width="14.625" style="51" customWidth="1"/>
    <col min="5" max="5" width="14.125" style="51" bestFit="1" customWidth="1"/>
    <col min="6" max="6" width="20.125" style="51" bestFit="1" customWidth="1"/>
    <col min="7" max="7" width="18.125" style="51" bestFit="1" customWidth="1"/>
    <col min="8" max="8" width="19.5" style="51" customWidth="1"/>
    <col min="9" max="10" width="9" style="51"/>
    <col min="11" max="13" width="0" style="51" hidden="1" customWidth="1" outlineLevel="1"/>
    <col min="14" max="14" width="9" style="51" collapsed="1"/>
    <col min="15" max="16384" width="9" style="51"/>
  </cols>
  <sheetData>
    <row r="1" spans="1:53" ht="27" customHeight="1">
      <c r="A1" s="48" t="s">
        <v>288</v>
      </c>
      <c r="B1" s="49">
        <f>IF($A$1=0,"",VLOOKUP(A1,'Project IO'!$B$4:$C$101,2,FALSE))</f>
        <v>406886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BA1" si="0">SUM(K3:K1048576)</f>
        <v>12.200000000000001</v>
      </c>
      <c r="L1" s="51">
        <f t="shared" si="0"/>
        <v>11.8</v>
      </c>
      <c r="M1" s="51">
        <f t="shared" si="0"/>
        <v>12.2</v>
      </c>
      <c r="N1" s="51">
        <f t="shared" si="0"/>
        <v>6.3</v>
      </c>
      <c r="O1" s="51">
        <f t="shared" si="0"/>
        <v>4.5000000000000009</v>
      </c>
      <c r="P1" s="51">
        <f t="shared" si="0"/>
        <v>4.4000000000000004</v>
      </c>
      <c r="Q1" s="51">
        <f t="shared" si="0"/>
        <v>8.3999999999999986</v>
      </c>
      <c r="R1" s="51">
        <f t="shared" si="0"/>
        <v>9.5</v>
      </c>
      <c r="S1" s="51">
        <f t="shared" si="0"/>
        <v>9.9999999999999964</v>
      </c>
      <c r="T1" s="51">
        <f t="shared" si="0"/>
        <v>9.9999999999999964</v>
      </c>
      <c r="U1" s="51">
        <f t="shared" si="0"/>
        <v>9</v>
      </c>
      <c r="V1" s="51">
        <f t="shared" si="0"/>
        <v>9</v>
      </c>
      <c r="W1" s="51">
        <f t="shared" si="0"/>
        <v>9</v>
      </c>
      <c r="X1" s="51">
        <f t="shared" si="0"/>
        <v>9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64</v>
      </c>
      <c r="J2" s="58" t="s">
        <v>65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 t="shared" ref="D3:D25" si="1">$A$1</f>
        <v>Micron A&amp;D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67</v>
      </c>
      <c r="I3" s="63">
        <v>45742</v>
      </c>
      <c r="J3" s="63">
        <v>45742</v>
      </c>
      <c r="K3" s="64">
        <v>0.2</v>
      </c>
      <c r="L3" s="64">
        <v>0.2</v>
      </c>
      <c r="M3" s="64">
        <v>0.2</v>
      </c>
      <c r="N3" s="64">
        <v>0.2</v>
      </c>
      <c r="O3" s="64">
        <v>0.2</v>
      </c>
      <c r="P3" s="64">
        <v>0.2</v>
      </c>
      <c r="Q3" s="64">
        <v>0.2</v>
      </c>
      <c r="R3" s="64">
        <v>0.2</v>
      </c>
      <c r="S3" s="64">
        <v>0.2</v>
      </c>
      <c r="T3" s="64">
        <v>0.2</v>
      </c>
      <c r="U3" s="64">
        <v>0.2</v>
      </c>
      <c r="V3" s="64">
        <v>0.2</v>
      </c>
      <c r="W3" s="64">
        <v>0.2</v>
      </c>
      <c r="X3" s="64">
        <v>0.2</v>
      </c>
      <c r="Y3" s="64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si="1"/>
        <v>Micron A&amp;D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242</v>
      </c>
      <c r="I4" s="63">
        <v>45742</v>
      </c>
      <c r="J4" s="63">
        <v>45742</v>
      </c>
      <c r="K4" s="64">
        <v>0.9</v>
      </c>
      <c r="L4" s="64">
        <v>0.9</v>
      </c>
      <c r="M4" s="64">
        <v>0.9</v>
      </c>
      <c r="N4" s="64">
        <v>0.9</v>
      </c>
      <c r="O4" s="64">
        <v>0.9</v>
      </c>
      <c r="P4" s="64">
        <v>0.1</v>
      </c>
      <c r="Q4" s="64">
        <v>0.9</v>
      </c>
      <c r="R4" s="64">
        <v>0.9</v>
      </c>
      <c r="S4" s="64">
        <v>0.9</v>
      </c>
      <c r="T4" s="64">
        <v>0.9</v>
      </c>
      <c r="U4" s="64">
        <v>0.9</v>
      </c>
      <c r="V4" s="64">
        <v>0.9</v>
      </c>
      <c r="W4" s="64">
        <v>0.9</v>
      </c>
      <c r="X4" s="64">
        <v>0.9</v>
      </c>
      <c r="Y4" s="64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1"/>
        <v>Micron A&amp;D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69</v>
      </c>
      <c r="I5" s="63">
        <v>45742</v>
      </c>
      <c r="J5" s="63">
        <v>45742</v>
      </c>
      <c r="K5" s="64">
        <v>0.2</v>
      </c>
      <c r="L5" s="64">
        <v>0.2</v>
      </c>
      <c r="M5" s="64">
        <v>0.2</v>
      </c>
      <c r="N5" s="64">
        <v>0.1</v>
      </c>
      <c r="O5" s="64">
        <v>0.1</v>
      </c>
      <c r="P5" s="64">
        <v>0.1</v>
      </c>
      <c r="Q5" s="64">
        <v>0.1</v>
      </c>
      <c r="R5" s="64">
        <v>0.2</v>
      </c>
      <c r="S5" s="64">
        <v>0.2</v>
      </c>
      <c r="T5" s="64">
        <v>0.2</v>
      </c>
      <c r="U5" s="64">
        <v>0.2</v>
      </c>
      <c r="V5" s="64">
        <v>0.2</v>
      </c>
      <c r="W5" s="64">
        <v>0.2</v>
      </c>
      <c r="X5" s="64">
        <v>0.2</v>
      </c>
      <c r="Y5" s="64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Micron A&amp;D</v>
      </c>
      <c r="E6" s="62" t="str">
        <f>IF($H6=0,"",VLOOKUP($H6,정원!$D:$G,2,FALSE))</f>
        <v>NPI IS</v>
      </c>
      <c r="F6" s="62" t="str">
        <f>IF($H6=0,"",VLOOKUP($H6,정원!$D:$G,3,FALSE))</f>
        <v>Mechanical</v>
      </c>
      <c r="G6" s="62" t="str">
        <f>IF($H6=0,"",VLOOKUP($H6,정원!$D:$G,4,FALSE))</f>
        <v>Leader</v>
      </c>
      <c r="H6" s="65" t="s">
        <v>73</v>
      </c>
      <c r="I6" s="63">
        <v>45742</v>
      </c>
      <c r="J6" s="63">
        <v>45742</v>
      </c>
      <c r="K6" s="64">
        <v>0.2</v>
      </c>
      <c r="L6" s="64">
        <v>0.3</v>
      </c>
      <c r="M6" s="64">
        <v>0.3</v>
      </c>
      <c r="N6" s="64">
        <v>0.3</v>
      </c>
      <c r="O6" s="64">
        <v>0.3</v>
      </c>
      <c r="P6" s="64">
        <v>0.3</v>
      </c>
      <c r="Q6" s="64">
        <v>0.3</v>
      </c>
      <c r="R6" s="64">
        <v>0.3</v>
      </c>
      <c r="S6" s="64">
        <v>0.3</v>
      </c>
      <c r="T6" s="64">
        <v>0.3</v>
      </c>
      <c r="U6" s="64">
        <v>0.3</v>
      </c>
      <c r="V6" s="64">
        <v>0.3</v>
      </c>
      <c r="W6" s="64">
        <v>0.3</v>
      </c>
      <c r="X6" s="64">
        <v>0.3</v>
      </c>
      <c r="Y6" s="64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Micron A&amp;D</v>
      </c>
      <c r="E7" s="62" t="str">
        <f>IF($H7=0,"",VLOOKUP($H7,정원!$D:$G,2,FALSE))</f>
        <v>NPI IS</v>
      </c>
      <c r="F7" s="62" t="str">
        <f>IF($H7=0,"",VLOOKUP($H7,정원!$D:$G,3,FALSE))</f>
        <v>Mechanical</v>
      </c>
      <c r="G7" s="62" t="str">
        <f>IF($H7=0,"",VLOOKUP($H7,정원!$D:$G,4,FALSE))</f>
        <v>Mechanical engineer</v>
      </c>
      <c r="H7" s="96" t="s">
        <v>264</v>
      </c>
      <c r="I7" s="63">
        <v>45742</v>
      </c>
      <c r="J7" s="63">
        <v>45742</v>
      </c>
      <c r="K7" s="64">
        <v>1</v>
      </c>
      <c r="L7" s="64">
        <v>1</v>
      </c>
      <c r="M7" s="64">
        <v>1</v>
      </c>
      <c r="N7" s="64">
        <v>0.5</v>
      </c>
      <c r="O7" s="94"/>
      <c r="P7" s="94"/>
      <c r="Q7" s="64">
        <v>1</v>
      </c>
      <c r="R7" s="64">
        <v>1</v>
      </c>
      <c r="S7" s="64">
        <v>1</v>
      </c>
      <c r="T7" s="64">
        <v>1</v>
      </c>
      <c r="U7" s="64">
        <v>1</v>
      </c>
      <c r="V7" s="64">
        <v>1</v>
      </c>
      <c r="W7" s="64">
        <v>1</v>
      </c>
      <c r="X7" s="64">
        <v>1</v>
      </c>
      <c r="Y7" s="64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Micron A&amp;D</v>
      </c>
      <c r="E8" s="62" t="str">
        <f>IF($H8=0,"",VLOOKUP($H8,정원!$D:$G,2,FALSE))</f>
        <v>NPI IS</v>
      </c>
      <c r="F8" s="62" t="str">
        <f>IF($H8=0,"",VLOOKUP($H8,정원!$D:$G,3,FALSE))</f>
        <v>Mechanical</v>
      </c>
      <c r="G8" s="62" t="str">
        <f>IF($H8=0,"",VLOOKUP($H8,정원!$D:$G,4,FALSE))</f>
        <v>Mechanical engineer</v>
      </c>
      <c r="H8" s="96" t="s">
        <v>259</v>
      </c>
      <c r="I8" s="63">
        <v>45742</v>
      </c>
      <c r="J8" s="63">
        <v>45742</v>
      </c>
      <c r="K8" s="64">
        <v>0.5</v>
      </c>
      <c r="L8" s="64"/>
      <c r="M8" s="64"/>
      <c r="N8" s="64">
        <v>0.5</v>
      </c>
      <c r="O8" s="94"/>
      <c r="P8" s="94"/>
      <c r="Q8" s="64"/>
      <c r="R8" s="64"/>
      <c r="S8" s="64">
        <v>0.5</v>
      </c>
      <c r="T8" s="64">
        <v>0.5</v>
      </c>
      <c r="U8" s="64"/>
      <c r="V8" s="64"/>
      <c r="W8" s="64"/>
      <c r="X8" s="64"/>
      <c r="Y8" s="64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Micron A&amp;D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Mechanical engineer</v>
      </c>
      <c r="H9" s="96" t="s">
        <v>265</v>
      </c>
      <c r="I9" s="63">
        <v>45742</v>
      </c>
      <c r="J9" s="63">
        <v>45742</v>
      </c>
      <c r="K9" s="64"/>
      <c r="L9" s="64"/>
      <c r="M9" s="64">
        <v>1</v>
      </c>
      <c r="N9" s="64">
        <v>0.2</v>
      </c>
      <c r="O9" s="94"/>
      <c r="P9" s="94"/>
      <c r="Q9" s="64">
        <v>1</v>
      </c>
      <c r="R9" s="64">
        <v>0.5</v>
      </c>
      <c r="S9" s="64">
        <v>0.5</v>
      </c>
      <c r="T9" s="64">
        <v>0.5</v>
      </c>
      <c r="U9" s="64"/>
      <c r="V9" s="64"/>
      <c r="W9" s="64"/>
      <c r="X9" s="64"/>
      <c r="Y9" s="64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Micron A&amp;D</v>
      </c>
      <c r="E10" s="62" t="str">
        <f>IF($H10=0,"",VLOOKUP($H10,정원!$D:$G,2,FALSE))</f>
        <v>NPI IS</v>
      </c>
      <c r="F10" s="62" t="str">
        <f>IF($H10=0,"",VLOOKUP($H10,정원!$D:$G,3,FALSE))</f>
        <v>System 2</v>
      </c>
      <c r="G10" s="62" t="str">
        <f>IF($H10=0,"",VLOOKUP($H10,정원!$D:$G,4,FALSE))</f>
        <v>Tech Lead</v>
      </c>
      <c r="H10" s="95" t="s">
        <v>194</v>
      </c>
      <c r="I10" s="63">
        <v>45742</v>
      </c>
      <c r="J10" s="63">
        <v>45742</v>
      </c>
      <c r="K10" s="64">
        <v>0.9</v>
      </c>
      <c r="L10" s="64">
        <v>0.9</v>
      </c>
      <c r="M10" s="64">
        <v>0.9</v>
      </c>
      <c r="N10" s="93"/>
      <c r="O10" s="93"/>
      <c r="P10" s="93"/>
      <c r="Q10" s="93">
        <v>0.5</v>
      </c>
      <c r="R10" s="93">
        <v>1</v>
      </c>
      <c r="S10" s="93">
        <v>1</v>
      </c>
      <c r="T10" s="93">
        <v>1</v>
      </c>
      <c r="U10" s="93">
        <v>1</v>
      </c>
      <c r="V10" s="93">
        <v>1</v>
      </c>
      <c r="W10" s="93">
        <v>1</v>
      </c>
      <c r="X10" s="93">
        <v>1</v>
      </c>
      <c r="Y10" s="93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Micron A&amp;D</v>
      </c>
      <c r="E11" s="62" t="str">
        <f>IF($H11=0,"",VLOOKUP($H11,정원!$D:$G,2,FALSE))</f>
        <v>NPI IS</v>
      </c>
      <c r="F11" s="62" t="str">
        <f>IF($H11=0,"",VLOOKUP($H11,정원!$D:$G,3,FALSE))</f>
        <v>System 2</v>
      </c>
      <c r="G11" s="62" t="str">
        <f>IF($H11=0,"",VLOOKUP($H11,정원!$D:$G,4,FALSE))</f>
        <v>Tech Lead</v>
      </c>
      <c r="H11" s="61" t="s">
        <v>195</v>
      </c>
      <c r="I11" s="63">
        <v>45742</v>
      </c>
      <c r="J11" s="63">
        <v>45742</v>
      </c>
      <c r="K11" s="64">
        <v>1</v>
      </c>
      <c r="L11" s="64">
        <v>1</v>
      </c>
      <c r="M11" s="64">
        <v>1</v>
      </c>
      <c r="N11" s="64">
        <v>0.7</v>
      </c>
      <c r="O11" s="64">
        <v>0.1</v>
      </c>
      <c r="P11" s="64">
        <v>0.1</v>
      </c>
      <c r="Q11" s="64"/>
      <c r="R11" s="64"/>
      <c r="S11" s="64"/>
      <c r="T11" s="64"/>
      <c r="U11" s="64"/>
      <c r="V11" s="64"/>
      <c r="W11" s="64"/>
      <c r="X11" s="64"/>
      <c r="Y11" s="64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Micron A&amp;D</v>
      </c>
      <c r="E12" s="62" t="str">
        <f>IF($H12=0,"",VLOOKUP($H12,정원!$D:$G,2,FALSE))</f>
        <v>NPI IS</v>
      </c>
      <c r="F12" s="62" t="str">
        <f>IF($H12=0,"",VLOOKUP($H12,정원!$D:$G,3,FALSE))</f>
        <v>System 2</v>
      </c>
      <c r="G12" s="62" t="str">
        <f>IF($H12=0,"",VLOOKUP($H12,정원!$D:$G,4,FALSE))</f>
        <v>System engineer</v>
      </c>
      <c r="H12" s="65" t="s">
        <v>191</v>
      </c>
      <c r="I12" s="63">
        <v>45742</v>
      </c>
      <c r="J12" s="63">
        <v>45742</v>
      </c>
      <c r="K12" s="64">
        <v>1</v>
      </c>
      <c r="L12" s="64">
        <v>1</v>
      </c>
      <c r="M12" s="64">
        <v>1</v>
      </c>
      <c r="N12" s="64">
        <v>0.5</v>
      </c>
      <c r="O12" s="64">
        <v>0.5</v>
      </c>
      <c r="P12" s="64">
        <v>0.5</v>
      </c>
      <c r="Q12" s="64">
        <v>1</v>
      </c>
      <c r="R12" s="64">
        <v>1</v>
      </c>
      <c r="S12" s="64">
        <v>1</v>
      </c>
      <c r="T12" s="64">
        <v>1</v>
      </c>
      <c r="U12" s="64">
        <v>1</v>
      </c>
      <c r="V12" s="64">
        <v>1</v>
      </c>
      <c r="W12" s="64">
        <v>1</v>
      </c>
      <c r="X12" s="64">
        <v>1</v>
      </c>
      <c r="Y12" s="64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Micron A&amp;D</v>
      </c>
      <c r="E13" s="62" t="str">
        <f>IF($H13=0,"",VLOOKUP($H13,정원!$D:$G,2,FALSE))</f>
        <v>NPI IS</v>
      </c>
      <c r="F13" s="62" t="str">
        <f>IF($H13=0,"",VLOOKUP($H13,정원!$D:$G,3,FALSE))</f>
        <v>System 3</v>
      </c>
      <c r="G13" s="62" t="str">
        <f>IF($H13=0,"",VLOOKUP($H13,정원!$D:$G,4,FALSE))</f>
        <v>System engineer</v>
      </c>
      <c r="H13" s="96" t="s">
        <v>200</v>
      </c>
      <c r="I13" s="63">
        <v>45742</v>
      </c>
      <c r="J13" s="63">
        <v>45742</v>
      </c>
      <c r="K13" s="64">
        <v>1</v>
      </c>
      <c r="L13" s="64">
        <v>1</v>
      </c>
      <c r="M13" s="64">
        <v>1</v>
      </c>
      <c r="N13" s="93"/>
      <c r="O13" s="93"/>
      <c r="P13" s="93"/>
      <c r="Q13" s="93"/>
      <c r="R13" s="64">
        <v>1</v>
      </c>
      <c r="S13" s="64">
        <v>1</v>
      </c>
      <c r="T13" s="64">
        <v>1</v>
      </c>
      <c r="U13" s="64">
        <v>1</v>
      </c>
      <c r="V13" s="64">
        <v>1</v>
      </c>
      <c r="W13" s="64">
        <v>1</v>
      </c>
      <c r="X13" s="64">
        <v>1</v>
      </c>
      <c r="Y13" s="64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Micron A&amp;D</v>
      </c>
      <c r="E14" s="62" t="str">
        <f>IF($H14=0,"",VLOOKUP($H14,정원!$D:$G,2,FALSE))</f>
        <v>NPI IS</v>
      </c>
      <c r="F14" s="62" t="str">
        <f>IF($H14=0,"",VLOOKUP($H14,정원!$D:$G,3,FALSE))</f>
        <v>System 2</v>
      </c>
      <c r="G14" s="62" t="str">
        <f>IF($H14=0,"",VLOOKUP($H14,정원!$D:$G,4,FALSE))</f>
        <v>System engineer</v>
      </c>
      <c r="H14" s="65" t="s">
        <v>193</v>
      </c>
      <c r="I14" s="63">
        <v>45742</v>
      </c>
      <c r="J14" s="63">
        <v>45742</v>
      </c>
      <c r="K14" s="64">
        <v>1</v>
      </c>
      <c r="L14" s="64">
        <v>1</v>
      </c>
      <c r="M14" s="64">
        <v>1</v>
      </c>
      <c r="N14" s="64">
        <v>1</v>
      </c>
      <c r="O14" s="64">
        <v>1</v>
      </c>
      <c r="P14" s="64">
        <v>1</v>
      </c>
      <c r="Q14" s="64">
        <v>1</v>
      </c>
      <c r="R14" s="64"/>
      <c r="S14" s="64"/>
      <c r="T14" s="64"/>
      <c r="U14" s="64"/>
      <c r="V14" s="64"/>
      <c r="W14" s="64"/>
      <c r="X14" s="64"/>
      <c r="Y14" s="64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1"/>
        <v>Micron A&amp;D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Service engineer</v>
      </c>
      <c r="H15" s="96" t="s">
        <v>189</v>
      </c>
      <c r="I15" s="63">
        <v>45742</v>
      </c>
      <c r="J15" s="63">
        <v>45742</v>
      </c>
      <c r="K15" s="64">
        <v>1</v>
      </c>
      <c r="L15" s="64">
        <v>1</v>
      </c>
      <c r="M15" s="64">
        <v>1</v>
      </c>
      <c r="N15" s="93"/>
      <c r="O15" s="93"/>
      <c r="P15" s="93">
        <v>0.5</v>
      </c>
      <c r="Q15" s="93"/>
      <c r="R15" s="64"/>
      <c r="S15" s="64"/>
      <c r="T15" s="64"/>
      <c r="U15" s="64"/>
      <c r="V15" s="64"/>
      <c r="W15" s="64"/>
      <c r="X15" s="64"/>
      <c r="Y15" s="64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Micron A&amp;D</v>
      </c>
      <c r="E16" s="62" t="str">
        <f>IF($H16=0,"",VLOOKUP($H16,정원!$D:$G,2,FALSE))</f>
        <v>Engineering</v>
      </c>
      <c r="F16" s="62" t="str">
        <f>IF($H16=0,"",VLOOKUP($H16,정원!$D:$G,3,FALSE))</f>
        <v>* Manager</v>
      </c>
      <c r="G16" s="62" t="str">
        <f>IF($H16=0,"",VLOOKUP($H16,정원!$D:$G,4,FALSE))</f>
        <v>* Eng Manager</v>
      </c>
      <c r="H16" s="68" t="s">
        <v>66</v>
      </c>
      <c r="I16" s="63">
        <v>45742</v>
      </c>
      <c r="J16" s="63">
        <v>45742</v>
      </c>
      <c r="K16" s="61">
        <v>0.1</v>
      </c>
      <c r="L16" s="61">
        <v>0.1</v>
      </c>
      <c r="M16" s="61">
        <v>0.1</v>
      </c>
      <c r="N16" s="61">
        <v>0.1</v>
      </c>
      <c r="O16" s="61">
        <v>0.1</v>
      </c>
      <c r="P16" s="61">
        <v>0.1</v>
      </c>
      <c r="Q16" s="61">
        <v>0.1</v>
      </c>
      <c r="R16" s="61">
        <v>0.1</v>
      </c>
      <c r="S16" s="61">
        <v>0.1</v>
      </c>
      <c r="T16" s="61">
        <v>0.1</v>
      </c>
      <c r="U16" s="61">
        <v>0.1</v>
      </c>
      <c r="V16" s="61">
        <v>0.1</v>
      </c>
      <c r="W16" s="61">
        <v>0.1</v>
      </c>
      <c r="X16" s="61">
        <v>0.1</v>
      </c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Micron A&amp;D</v>
      </c>
      <c r="E17" s="62" t="str">
        <f>IF($H17=0,"",VLOOKUP($H17,정원!$D:$G,2,FALSE))</f>
        <v>Control Eng.</v>
      </c>
      <c r="F17" s="62" t="str">
        <f>IF($H17=0,"",VLOOKUP($H17,정원!$D:$G,3,FALSE))</f>
        <v>* Manager</v>
      </c>
      <c r="G17" s="62" t="str">
        <f>IF($H17=0,"",VLOOKUP($H17,정원!$D:$G,4,FALSE))</f>
        <v>* Manager</v>
      </c>
      <c r="H17" s="61" t="s">
        <v>75</v>
      </c>
      <c r="I17" s="63">
        <v>45742</v>
      </c>
      <c r="J17" s="63">
        <v>45742</v>
      </c>
      <c r="K17" s="61">
        <v>0.1</v>
      </c>
      <c r="L17" s="61">
        <v>0.1</v>
      </c>
      <c r="M17" s="61">
        <v>0.1</v>
      </c>
      <c r="N17" s="61">
        <v>0.1</v>
      </c>
      <c r="O17" s="61">
        <v>0.1</v>
      </c>
      <c r="P17" s="61">
        <v>0.1</v>
      </c>
      <c r="Q17" s="61">
        <v>0.1</v>
      </c>
      <c r="R17" s="61">
        <v>0.1</v>
      </c>
      <c r="S17" s="61">
        <v>0.1</v>
      </c>
      <c r="T17" s="61">
        <v>0.1</v>
      </c>
      <c r="U17" s="61">
        <v>0.1</v>
      </c>
      <c r="V17" s="61">
        <v>0.1</v>
      </c>
      <c r="W17" s="61">
        <v>0.1</v>
      </c>
      <c r="X17" s="61">
        <v>0.1</v>
      </c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Micron A&amp;D</v>
      </c>
      <c r="E18" s="62" t="str">
        <f>IF($H18=0,"",VLOOKUP($H18,정원!$D:$G,2,FALSE))</f>
        <v>Control Eng.</v>
      </c>
      <c r="F18" s="62" t="str">
        <f>IF($H18=0,"",VLOOKUP($H18,정원!$D:$G,3,FALSE))</f>
        <v>Electrical</v>
      </c>
      <c r="G18" s="62" t="str">
        <f>IF($H18=0,"",VLOOKUP($H18,정원!$D:$G,4,FALSE))</f>
        <v>Leader</v>
      </c>
      <c r="H18" s="61" t="s">
        <v>79</v>
      </c>
      <c r="I18" s="63">
        <v>45742</v>
      </c>
      <c r="J18" s="63">
        <v>45742</v>
      </c>
      <c r="K18" s="61">
        <v>0.3</v>
      </c>
      <c r="L18" s="61">
        <v>0.3</v>
      </c>
      <c r="M18" s="61">
        <v>0.3</v>
      </c>
      <c r="N18" s="61"/>
      <c r="O18" s="61"/>
      <c r="P18" s="61"/>
      <c r="Q18" s="61">
        <v>0.3</v>
      </c>
      <c r="R18" s="61">
        <v>0.3</v>
      </c>
      <c r="S18" s="61">
        <v>0.3</v>
      </c>
      <c r="T18" s="61">
        <v>0.3</v>
      </c>
      <c r="U18" s="61">
        <v>0.3</v>
      </c>
      <c r="V18" s="61">
        <v>0.3</v>
      </c>
      <c r="W18" s="61">
        <v>0.3</v>
      </c>
      <c r="X18" s="61">
        <v>0.3</v>
      </c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Micron A&amp;D</v>
      </c>
      <c r="E19" s="62" t="str">
        <f>IF($H19=0,"",VLOOKUP($H19,정원!$D:$G,2,FALSE))</f>
        <v>Control Eng.</v>
      </c>
      <c r="F19" s="62" t="str">
        <f>IF($H19=0,"",VLOOKUP($H19,정원!$D:$G,3,FALSE))</f>
        <v>Electrical</v>
      </c>
      <c r="G19" s="62" t="str">
        <f>IF($H19=0,"",VLOOKUP($H19,정원!$D:$G,4,FALSE))</f>
        <v>Electrical engineer</v>
      </c>
      <c r="H19" s="97" t="s">
        <v>289</v>
      </c>
      <c r="I19" s="63">
        <v>45742</v>
      </c>
      <c r="J19" s="63">
        <v>45742</v>
      </c>
      <c r="K19" s="61">
        <v>1</v>
      </c>
      <c r="L19" s="61">
        <v>1</v>
      </c>
      <c r="M19" s="61">
        <v>1</v>
      </c>
      <c r="N19" s="95"/>
      <c r="O19" s="95"/>
      <c r="P19" s="95"/>
      <c r="Q19" s="61">
        <v>1</v>
      </c>
      <c r="R19" s="61">
        <v>1</v>
      </c>
      <c r="S19" s="61">
        <v>1</v>
      </c>
      <c r="T19" s="61">
        <v>1</v>
      </c>
      <c r="U19" s="61">
        <v>1</v>
      </c>
      <c r="V19" s="61">
        <v>1</v>
      </c>
      <c r="W19" s="61">
        <v>1</v>
      </c>
      <c r="X19" s="61">
        <v>1</v>
      </c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Micron A&amp;D</v>
      </c>
      <c r="E20" s="62" t="str">
        <f>IF($H20=0,"",VLOOKUP($H20,정원!$D:$G,2,FALSE))</f>
        <v>Control Eng.</v>
      </c>
      <c r="F20" s="62" t="str">
        <f>IF($H20=0,"",VLOOKUP($H20,정원!$D:$G,3,FALSE))</f>
        <v>Software</v>
      </c>
      <c r="G20" s="62" t="str">
        <f>IF($H20=0,"",VLOOKUP($H20,정원!$D:$G,4,FALSE))</f>
        <v>Leader</v>
      </c>
      <c r="H20" s="61" t="s">
        <v>76</v>
      </c>
      <c r="I20" s="63">
        <v>45742</v>
      </c>
      <c r="J20" s="63">
        <v>45742</v>
      </c>
      <c r="K20" s="61">
        <v>0.3</v>
      </c>
      <c r="L20" s="61">
        <v>0.3</v>
      </c>
      <c r="M20" s="61">
        <v>0.2</v>
      </c>
      <c r="N20" s="61">
        <v>0.2</v>
      </c>
      <c r="O20" s="61">
        <v>0.2</v>
      </c>
      <c r="P20" s="61">
        <v>0.2</v>
      </c>
      <c r="Q20" s="61">
        <v>0.2</v>
      </c>
      <c r="R20" s="61">
        <v>0.2</v>
      </c>
      <c r="S20" s="61">
        <v>0.2</v>
      </c>
      <c r="T20" s="61">
        <v>0.2</v>
      </c>
      <c r="U20" s="61">
        <v>0.2</v>
      </c>
      <c r="V20" s="61">
        <v>0.2</v>
      </c>
      <c r="W20" s="61">
        <v>0.2</v>
      </c>
      <c r="X20" s="61">
        <v>0.2</v>
      </c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Micron A&amp;D</v>
      </c>
      <c r="E21" s="62" t="str">
        <f>IF($H21=0,"",VLOOKUP($H21,정원!$D:$G,2,FALSE))</f>
        <v>Control Eng.</v>
      </c>
      <c r="F21" s="62" t="str">
        <f>IF($H21=0,"",VLOOKUP($H21,정원!$D:$G,3,FALSE))</f>
        <v>Software</v>
      </c>
      <c r="G21" s="62" t="str">
        <f>IF($H21=0,"",VLOOKUP($H21,정원!$D:$G,4,FALSE))</f>
        <v>Software engineer</v>
      </c>
      <c r="H21" s="68" t="s">
        <v>77</v>
      </c>
      <c r="I21" s="63">
        <v>45742</v>
      </c>
      <c r="J21" s="63">
        <v>45742</v>
      </c>
      <c r="K21" s="61">
        <v>1</v>
      </c>
      <c r="L21" s="61">
        <v>1</v>
      </c>
      <c r="M21" s="61">
        <v>0.5</v>
      </c>
      <c r="N21" s="65">
        <v>0.5</v>
      </c>
      <c r="O21" s="65">
        <v>0.5</v>
      </c>
      <c r="P21" s="65">
        <v>0.2</v>
      </c>
      <c r="Q21" s="65">
        <v>0.2</v>
      </c>
      <c r="R21" s="61">
        <v>0.2</v>
      </c>
      <c r="S21" s="61">
        <v>0.2</v>
      </c>
      <c r="T21" s="61">
        <v>0.2</v>
      </c>
      <c r="U21" s="61">
        <v>0.2</v>
      </c>
      <c r="V21" s="61">
        <v>0.2</v>
      </c>
      <c r="W21" s="61">
        <v>0.2</v>
      </c>
      <c r="X21" s="61">
        <v>0.2</v>
      </c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Micron A&amp;D</v>
      </c>
      <c r="E22" s="62" t="str">
        <f>IF($H22=0,"",VLOOKUP($H22,정원!$D:$G,2,FALSE))</f>
        <v>Control Eng.</v>
      </c>
      <c r="F22" s="62" t="str">
        <f>IF($H22=0,"",VLOOKUP($H22,정원!$D:$G,3,FALSE))</f>
        <v>Software</v>
      </c>
      <c r="G22" s="62" t="str">
        <f>IF($H22=0,"",VLOOKUP($H22,정원!$D:$G,4,FALSE))</f>
        <v>SW test engineer</v>
      </c>
      <c r="H22" s="68" t="s">
        <v>290</v>
      </c>
      <c r="I22" s="63">
        <v>45742</v>
      </c>
      <c r="J22" s="63">
        <v>45742</v>
      </c>
      <c r="K22" s="61">
        <v>0.5</v>
      </c>
      <c r="L22" s="61">
        <v>0.5</v>
      </c>
      <c r="M22" s="61">
        <v>0.5</v>
      </c>
      <c r="N22" s="65">
        <v>0.5</v>
      </c>
      <c r="O22" s="65">
        <v>0.5</v>
      </c>
      <c r="P22" s="65">
        <v>0.5</v>
      </c>
      <c r="Q22" s="65">
        <v>0.5</v>
      </c>
      <c r="R22" s="61">
        <v>0.5</v>
      </c>
      <c r="S22" s="61">
        <v>0.5</v>
      </c>
      <c r="T22" s="61">
        <v>0.5</v>
      </c>
      <c r="U22" s="61">
        <v>0.5</v>
      </c>
      <c r="V22" s="61">
        <v>0.5</v>
      </c>
      <c r="W22" s="61">
        <v>0.5</v>
      </c>
      <c r="X22" s="61">
        <v>0.5</v>
      </c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Micron A&amp;D</v>
      </c>
      <c r="E23" s="62" t="str">
        <f>IF($H23=0,"",VLOOKUP($H23,정원!$D:$G,2,FALSE))</f>
        <v>NPI IS</v>
      </c>
      <c r="F23" s="62" t="str">
        <f>IF($H23=0,"",VLOOKUP($H23,정원!$D:$G,3,FALSE))</f>
        <v>System 1</v>
      </c>
      <c r="G23" s="62" t="str">
        <f>IF($H23=0,"",VLOOKUP($H23,정원!$D:$G,4,FALSE))</f>
        <v>System engineer</v>
      </c>
      <c r="H23" s="68" t="s">
        <v>184</v>
      </c>
      <c r="I23" s="63">
        <v>45742</v>
      </c>
      <c r="J23" s="63">
        <v>45742</v>
      </c>
      <c r="K23" s="61"/>
      <c r="L23" s="61"/>
      <c r="M23" s="61"/>
      <c r="N23" s="65"/>
      <c r="O23" s="65"/>
      <c r="P23" s="65"/>
      <c r="Q23" s="65"/>
      <c r="R23" s="61">
        <v>1</v>
      </c>
      <c r="S23" s="61">
        <v>1</v>
      </c>
      <c r="T23" s="61">
        <v>1</v>
      </c>
      <c r="U23" s="61">
        <v>1</v>
      </c>
      <c r="V23" s="61">
        <v>1</v>
      </c>
      <c r="W23" s="61">
        <v>1</v>
      </c>
      <c r="X23" s="61">
        <v>1</v>
      </c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Micron A&amp;D</v>
      </c>
      <c r="E24" s="62" t="str">
        <f>IF($H24=0,"",VLOOKUP($H24,정원!$D:$G,2,FALSE))</f>
        <v>NPI IS</v>
      </c>
      <c r="F24" s="62" t="str">
        <f>IF($H24=0,"",VLOOKUP($H24,정원!$D:$G,3,FALSE))</f>
        <v>System 2</v>
      </c>
      <c r="G24" s="62" t="str">
        <f>IF($H24=0,"",VLOOKUP($H24,정원!$D:$G,4,FALSE))</f>
        <v>System engineer</v>
      </c>
      <c r="H24" s="68" t="s">
        <v>192</v>
      </c>
      <c r="I24" s="63">
        <v>45742</v>
      </c>
      <c r="J24" s="63">
        <v>45742</v>
      </c>
      <c r="K24" s="61"/>
      <c r="L24" s="61"/>
      <c r="M24" s="61"/>
      <c r="N24" s="65"/>
      <c r="O24" s="65"/>
      <c r="P24" s="65">
        <v>0.5</v>
      </c>
      <c r="Q24" s="65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 t="shared" si="1"/>
        <v>Micron A&amp;D</v>
      </c>
      <c r="E25" s="62">
        <f>IF($H25=0,"",VLOOKUP($H25,정원!$D:$G,2,FALSE))</f>
        <v>0</v>
      </c>
      <c r="F25" s="62">
        <f>IF($H25=0,"",VLOOKUP($H25,정원!$D:$G,3,FALSE))</f>
        <v>0</v>
      </c>
      <c r="G25" s="62">
        <f>IF($H25=0,"",VLOOKUP($H25,정원!$D:$G,4,FALSE))</f>
        <v>0</v>
      </c>
      <c r="H25" s="66" t="s">
        <v>81</v>
      </c>
      <c r="I25" s="63">
        <v>45742</v>
      </c>
      <c r="J25" s="63">
        <v>45742</v>
      </c>
      <c r="K25" s="61"/>
      <c r="L25" s="61" t="s">
        <v>291</v>
      </c>
      <c r="M25" s="61"/>
      <c r="N25" s="61"/>
      <c r="O25" s="61"/>
      <c r="P25" s="61"/>
      <c r="Q25" s="61"/>
      <c r="R25" s="61"/>
      <c r="S25" s="61"/>
      <c r="T25" s="61" t="s">
        <v>64</v>
      </c>
      <c r="V25" s="61"/>
      <c r="W25" s="61"/>
      <c r="X25" s="61" t="s">
        <v>65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7" spans="1:53"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53">
      <c r="N28" s="82"/>
      <c r="O28" s="82"/>
      <c r="P28" s="82"/>
      <c r="Q28" s="82"/>
      <c r="R28" s="82"/>
      <c r="S28" s="82"/>
      <c r="T28" s="82"/>
    </row>
  </sheetData>
  <phoneticPr fontId="1" type="noConversion"/>
  <dataValidations count="2">
    <dataValidation type="list" allowBlank="1" showInputMessage="1" showErrorMessage="1" sqref="E26:E1048576" xr:uid="{596556CF-DCB3-4039-B29E-652FD60EA4AC}">
      <formula1>"Engineering, PMO, System engineering, Control Engineering"</formula1>
    </dataValidation>
    <dataValidation type="list" allowBlank="1" showInputMessage="1" showErrorMessage="1" sqref="F26:F1048576" xr:uid="{69B0DB3E-AF58-4878-9F78-AA56E68BCF75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5A6FD6-D395-4A92-8A9A-6E8475F6C0EA}">
          <x14:formula1>
            <xm:f>'Project IO'!$B$4:$B$101</xm:f>
          </x14:formula1>
          <xm:sqref>A1</xm:sqref>
        </x14:dataValidation>
        <x14:dataValidation type="list" allowBlank="1" showInputMessage="1" showErrorMessage="1" xr:uid="{2CA6D4D1-6693-4E53-978B-E104FCD91695}">
          <x14:formula1>
            <xm:f>정원!$D:$D</xm:f>
          </x14:formula1>
          <xm:sqref>H3:H1048576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CE88-53F7-43A0-8DD1-F670E99EA293}">
  <sheetPr>
    <tabColor theme="6" tint="0.79998168889431442"/>
  </sheetPr>
  <dimension ref="A1:BA34"/>
  <sheetViews>
    <sheetView tabSelected="1" zoomScaleNormal="100" workbookViewId="0">
      <pane ySplit="2" topLeftCell="A6" activePane="bottomLeft" state="frozen"/>
      <selection pane="bottomLeft" activeCell="J28" sqref="J28"/>
      <selection activeCell="C6" sqref="C6"/>
    </sheetView>
  </sheetViews>
  <sheetFormatPr defaultColWidth="9" defaultRowHeight="16.5" outlineLevelCol="1"/>
  <cols>
    <col min="1" max="1" width="8.625" style="51" customWidth="1"/>
    <col min="2" max="2" width="8.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8.125" style="51" bestFit="1" customWidth="1"/>
    <col min="8" max="8" width="15" style="51" bestFit="1" customWidth="1"/>
    <col min="9" max="10" width="9" style="51"/>
    <col min="11" max="13" width="0" style="51" hidden="1" customWidth="1" outlineLevel="1"/>
    <col min="14" max="14" width="9" style="51" collapsed="1"/>
    <col min="15" max="16384" width="9" style="51"/>
  </cols>
  <sheetData>
    <row r="1" spans="1:53" ht="27" customHeight="1">
      <c r="A1" s="48" t="s">
        <v>144</v>
      </c>
      <c r="B1" s="49">
        <f>IF($A$1=0,"",VLOOKUP(A1,'Project IO'!$B$4:$C$101,2,FALSE))</f>
        <v>407039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16">
        <f t="shared" ref="K1:BA1" si="0">SUM(K3:K1048576)</f>
        <v>0</v>
      </c>
      <c r="L1" s="16">
        <f t="shared" si="0"/>
        <v>5.1000000000000005</v>
      </c>
      <c r="M1" s="16">
        <f t="shared" si="0"/>
        <v>7.5999999999999988</v>
      </c>
      <c r="N1" s="16">
        <f t="shared" si="0"/>
        <v>9.6999999999999993</v>
      </c>
      <c r="O1" s="16">
        <f t="shared" si="0"/>
        <v>9.8999999999999986</v>
      </c>
      <c r="P1" s="16">
        <f t="shared" si="0"/>
        <v>9.6</v>
      </c>
      <c r="Q1" s="16">
        <f t="shared" si="0"/>
        <v>9.6</v>
      </c>
      <c r="R1" s="16">
        <f t="shared" si="0"/>
        <v>12.399999999999999</v>
      </c>
      <c r="S1" s="16">
        <f t="shared" si="0"/>
        <v>12.399999999999999</v>
      </c>
      <c r="T1" s="16">
        <f t="shared" si="0"/>
        <v>12.6</v>
      </c>
      <c r="U1" s="16">
        <f t="shared" si="0"/>
        <v>13.2</v>
      </c>
      <c r="V1" s="16">
        <f t="shared" si="0"/>
        <v>13.2</v>
      </c>
      <c r="W1" s="16">
        <f t="shared" si="0"/>
        <v>13.2</v>
      </c>
      <c r="X1" s="16">
        <f t="shared" si="0"/>
        <v>14.2</v>
      </c>
      <c r="Y1" s="16">
        <f t="shared" si="0"/>
        <v>15.999999999999998</v>
      </c>
      <c r="Z1" s="16">
        <f t="shared" si="0"/>
        <v>15.999999999999998</v>
      </c>
      <c r="AA1" s="16">
        <f t="shared" si="0"/>
        <v>15.999999999999998</v>
      </c>
      <c r="AB1" s="16">
        <f t="shared" si="0"/>
        <v>15.999999999999998</v>
      </c>
      <c r="AC1" s="16">
        <f t="shared" si="0"/>
        <v>15.999999999999998</v>
      </c>
      <c r="AD1" s="16">
        <f t="shared" si="0"/>
        <v>16.399999999999999</v>
      </c>
      <c r="AE1" s="16">
        <f t="shared" si="0"/>
        <v>16.399999999999999</v>
      </c>
      <c r="AF1" s="16">
        <f t="shared" si="0"/>
        <v>16.399999999999999</v>
      </c>
      <c r="AG1" s="16">
        <f t="shared" si="0"/>
        <v>16.299999999999997</v>
      </c>
      <c r="AH1" s="16">
        <f t="shared" si="0"/>
        <v>15.599999999999998</v>
      </c>
      <c r="AI1" s="16">
        <f t="shared" si="0"/>
        <v>15.599999999999998</v>
      </c>
      <c r="AJ1" s="16">
        <f t="shared" si="0"/>
        <v>15.599999999999998</v>
      </c>
      <c r="AK1" s="16">
        <f t="shared" si="0"/>
        <v>15.599999999999998</v>
      </c>
      <c r="AL1" s="16">
        <f t="shared" si="0"/>
        <v>15.599999999999998</v>
      </c>
      <c r="AM1" s="16">
        <f t="shared" si="0"/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s="60" customFormat="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64</v>
      </c>
      <c r="J2" s="58" t="s">
        <v>65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>$A$1</f>
        <v>Tumalo Ph2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1" t="s">
        <v>292</v>
      </c>
      <c r="I3" s="73">
        <v>46113</v>
      </c>
      <c r="J3" s="73">
        <f>I3+180</f>
        <v>46293</v>
      </c>
      <c r="K3" s="64"/>
      <c r="L3" s="64"/>
      <c r="M3" s="64"/>
      <c r="N3" s="64"/>
      <c r="O3" s="64"/>
      <c r="P3" s="64"/>
      <c r="Q3" s="64"/>
      <c r="R3" s="64">
        <v>0.1</v>
      </c>
      <c r="S3" s="64">
        <v>0.1</v>
      </c>
      <c r="T3" s="64">
        <v>0.1</v>
      </c>
      <c r="U3" s="64">
        <v>0.1</v>
      </c>
      <c r="V3" s="64">
        <v>0.1</v>
      </c>
      <c r="W3" s="64">
        <v>0.1</v>
      </c>
      <c r="X3" s="64">
        <v>0.1</v>
      </c>
      <c r="Y3" s="64">
        <v>0.1</v>
      </c>
      <c r="Z3" s="64">
        <v>0.1</v>
      </c>
      <c r="AA3" s="64">
        <v>0.1</v>
      </c>
      <c r="AB3" s="64">
        <v>0.1</v>
      </c>
      <c r="AC3" s="64">
        <v>0.1</v>
      </c>
      <c r="AD3" s="64">
        <v>0.1</v>
      </c>
      <c r="AE3" s="64">
        <v>0.1</v>
      </c>
      <c r="AF3" s="64">
        <v>0.1</v>
      </c>
      <c r="AG3" s="64">
        <v>0.1</v>
      </c>
      <c r="AH3" s="64">
        <v>0.1</v>
      </c>
      <c r="AI3" s="64">
        <v>0.1</v>
      </c>
      <c r="AJ3" s="64">
        <v>0.1</v>
      </c>
      <c r="AK3" s="64">
        <v>0.1</v>
      </c>
      <c r="AL3" s="64">
        <v>0.1</v>
      </c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ref="D4:D34" si="1">$A$1</f>
        <v>Tumalo Ph2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1" t="s">
        <v>67</v>
      </c>
      <c r="I4" s="73">
        <v>46113</v>
      </c>
      <c r="J4" s="73">
        <f t="shared" ref="J4:J34" si="2">I4+180</f>
        <v>46293</v>
      </c>
      <c r="K4" s="64"/>
      <c r="L4" s="64">
        <v>0.3</v>
      </c>
      <c r="M4" s="64">
        <v>0.3</v>
      </c>
      <c r="N4" s="64">
        <v>0.3</v>
      </c>
      <c r="O4" s="64">
        <v>0.3</v>
      </c>
      <c r="P4" s="64">
        <v>0.3</v>
      </c>
      <c r="Q4" s="64">
        <v>0.3</v>
      </c>
      <c r="R4" s="64">
        <v>0.3</v>
      </c>
      <c r="S4" s="64">
        <v>0.3</v>
      </c>
      <c r="T4" s="64">
        <v>0.3</v>
      </c>
      <c r="U4" s="64">
        <v>0.3</v>
      </c>
      <c r="V4" s="64">
        <v>0.3</v>
      </c>
      <c r="W4" s="64">
        <v>0.3</v>
      </c>
      <c r="X4" s="64">
        <v>0.3</v>
      </c>
      <c r="Y4" s="64">
        <v>0.3</v>
      </c>
      <c r="Z4" s="64">
        <v>0.3</v>
      </c>
      <c r="AA4" s="64">
        <v>0.3</v>
      </c>
      <c r="AB4" s="64">
        <v>0.3</v>
      </c>
      <c r="AC4" s="64">
        <v>0.3</v>
      </c>
      <c r="AD4" s="64">
        <v>0.2</v>
      </c>
      <c r="AE4" s="64">
        <v>0.2</v>
      </c>
      <c r="AF4" s="64">
        <v>0.2</v>
      </c>
      <c r="AG4" s="64">
        <v>0.2</v>
      </c>
      <c r="AH4" s="64">
        <v>0.1</v>
      </c>
      <c r="AI4" s="64">
        <v>0.1</v>
      </c>
      <c r="AJ4" s="64">
        <v>0.1</v>
      </c>
      <c r="AK4" s="64">
        <v>0.1</v>
      </c>
      <c r="AL4" s="64">
        <v>0.1</v>
      </c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1"/>
        <v>Tumalo Ph2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1" t="s">
        <v>244</v>
      </c>
      <c r="I5" s="73">
        <v>46113</v>
      </c>
      <c r="J5" s="73">
        <f t="shared" si="2"/>
        <v>46293</v>
      </c>
      <c r="K5" s="64"/>
      <c r="L5" s="64">
        <v>0.5</v>
      </c>
      <c r="M5" s="64">
        <v>0.5</v>
      </c>
      <c r="N5" s="64">
        <v>0.8</v>
      </c>
      <c r="O5" s="64">
        <v>0.8</v>
      </c>
      <c r="P5" s="64">
        <v>1</v>
      </c>
      <c r="Q5" s="64">
        <v>1</v>
      </c>
      <c r="R5" s="64">
        <v>1</v>
      </c>
      <c r="S5" s="64">
        <v>1</v>
      </c>
      <c r="T5" s="64">
        <v>1</v>
      </c>
      <c r="U5" s="64">
        <v>1</v>
      </c>
      <c r="V5" s="64">
        <v>1</v>
      </c>
      <c r="W5" s="64">
        <v>1</v>
      </c>
      <c r="X5" s="64">
        <v>1</v>
      </c>
      <c r="Y5" s="64">
        <v>1</v>
      </c>
      <c r="Z5" s="64">
        <v>1</v>
      </c>
      <c r="AA5" s="64">
        <v>1</v>
      </c>
      <c r="AB5" s="64">
        <v>1</v>
      </c>
      <c r="AC5" s="64">
        <v>1</v>
      </c>
      <c r="AD5" s="64">
        <v>1</v>
      </c>
      <c r="AE5" s="64">
        <v>1</v>
      </c>
      <c r="AF5" s="64">
        <v>1</v>
      </c>
      <c r="AG5" s="64">
        <v>1</v>
      </c>
      <c r="AH5" s="64">
        <v>0.5</v>
      </c>
      <c r="AI5" s="64">
        <v>0.5</v>
      </c>
      <c r="AJ5" s="64">
        <v>0.5</v>
      </c>
      <c r="AK5" s="64">
        <v>0.5</v>
      </c>
      <c r="AL5" s="64">
        <v>0.5</v>
      </c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Tumalo Ph2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1" t="s">
        <v>69</v>
      </c>
      <c r="I6" s="73">
        <v>46478</v>
      </c>
      <c r="J6" s="73">
        <f t="shared" si="2"/>
        <v>46658</v>
      </c>
      <c r="K6" s="64"/>
      <c r="L6" s="64">
        <v>0.3</v>
      </c>
      <c r="M6" s="64">
        <v>0.3</v>
      </c>
      <c r="N6" s="64">
        <v>0.3</v>
      </c>
      <c r="O6" s="64">
        <v>0.3</v>
      </c>
      <c r="P6" s="64">
        <v>0.3</v>
      </c>
      <c r="Q6" s="64">
        <v>0.3</v>
      </c>
      <c r="R6" s="64">
        <v>0.3</v>
      </c>
      <c r="S6" s="64">
        <v>0.3</v>
      </c>
      <c r="T6" s="64">
        <v>0.3</v>
      </c>
      <c r="U6" s="64">
        <v>0.3</v>
      </c>
      <c r="V6" s="64">
        <v>0.3</v>
      </c>
      <c r="W6" s="64">
        <v>0.3</v>
      </c>
      <c r="X6" s="64">
        <v>0.3</v>
      </c>
      <c r="Y6" s="64">
        <v>0.3</v>
      </c>
      <c r="Z6" s="64">
        <v>0.3</v>
      </c>
      <c r="AA6" s="64">
        <v>0.3</v>
      </c>
      <c r="AB6" s="64">
        <v>0.3</v>
      </c>
      <c r="AC6" s="64">
        <v>0.3</v>
      </c>
      <c r="AD6" s="64">
        <v>0.3</v>
      </c>
      <c r="AE6" s="64">
        <v>0.3</v>
      </c>
      <c r="AF6" s="64">
        <v>0.3</v>
      </c>
      <c r="AG6" s="64">
        <v>0.3</v>
      </c>
      <c r="AH6" s="64">
        <v>0.2</v>
      </c>
      <c r="AI6" s="64">
        <v>0.2</v>
      </c>
      <c r="AJ6" s="64">
        <v>0.2</v>
      </c>
      <c r="AK6" s="64">
        <v>0.2</v>
      </c>
      <c r="AL6" s="64">
        <v>0.2</v>
      </c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Tumalo Ph2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1" t="s">
        <v>202</v>
      </c>
      <c r="I7" s="73">
        <v>46478</v>
      </c>
      <c r="J7" s="73">
        <f t="shared" si="2"/>
        <v>46658</v>
      </c>
      <c r="K7" s="64"/>
      <c r="L7" s="64"/>
      <c r="M7" s="64"/>
      <c r="N7" s="64">
        <v>0.4</v>
      </c>
      <c r="O7" s="64">
        <v>0.4</v>
      </c>
      <c r="P7" s="64">
        <v>0.4</v>
      </c>
      <c r="Q7" s="64">
        <v>0.4</v>
      </c>
      <c r="R7" s="64">
        <v>0.4</v>
      </c>
      <c r="S7" s="64">
        <v>0.4</v>
      </c>
      <c r="T7" s="64">
        <v>0.5</v>
      </c>
      <c r="U7" s="64">
        <v>0.5</v>
      </c>
      <c r="V7" s="64">
        <v>0.5</v>
      </c>
      <c r="W7" s="64">
        <v>0.5</v>
      </c>
      <c r="X7" s="64">
        <v>0.5</v>
      </c>
      <c r="Y7" s="64">
        <v>0.5</v>
      </c>
      <c r="Z7" s="64">
        <v>0.5</v>
      </c>
      <c r="AA7" s="64">
        <v>0.5</v>
      </c>
      <c r="AB7" s="64">
        <v>0.5</v>
      </c>
      <c r="AC7" s="64">
        <v>0.5</v>
      </c>
      <c r="AD7" s="64">
        <v>0.5</v>
      </c>
      <c r="AE7" s="64">
        <v>0.5</v>
      </c>
      <c r="AF7" s="64">
        <v>0.5</v>
      </c>
      <c r="AG7" s="64">
        <v>0.5</v>
      </c>
      <c r="AH7" s="64">
        <v>0.5</v>
      </c>
      <c r="AI7" s="64">
        <v>0.5</v>
      </c>
      <c r="AJ7" s="64">
        <v>0.5</v>
      </c>
      <c r="AK7" s="64">
        <v>0.5</v>
      </c>
      <c r="AL7" s="64">
        <v>0.5</v>
      </c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Tumalo Ph2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Tech Lead</v>
      </c>
      <c r="H8" s="65" t="s">
        <v>203</v>
      </c>
      <c r="I8" s="73">
        <v>46478</v>
      </c>
      <c r="J8" s="73">
        <f t="shared" si="2"/>
        <v>46658</v>
      </c>
      <c r="K8" s="64"/>
      <c r="L8" s="64">
        <v>0.9</v>
      </c>
      <c r="M8" s="64">
        <v>0.9</v>
      </c>
      <c r="N8" s="64">
        <v>0.9</v>
      </c>
      <c r="O8" s="64">
        <v>0.9</v>
      </c>
      <c r="P8" s="64">
        <v>0.9</v>
      </c>
      <c r="Q8" s="64">
        <v>0.9</v>
      </c>
      <c r="R8" s="64">
        <v>0.9</v>
      </c>
      <c r="S8" s="64">
        <v>0.9</v>
      </c>
      <c r="T8" s="64">
        <v>0.9</v>
      </c>
      <c r="U8" s="64">
        <v>1</v>
      </c>
      <c r="V8" s="64">
        <v>1</v>
      </c>
      <c r="W8" s="64">
        <v>1</v>
      </c>
      <c r="X8" s="64">
        <v>1</v>
      </c>
      <c r="Y8" s="64">
        <v>1</v>
      </c>
      <c r="Z8" s="64">
        <v>1</v>
      </c>
      <c r="AA8" s="64">
        <v>1</v>
      </c>
      <c r="AB8" s="64">
        <v>1</v>
      </c>
      <c r="AC8" s="64">
        <v>1</v>
      </c>
      <c r="AD8" s="64">
        <v>1</v>
      </c>
      <c r="AE8" s="64">
        <v>1</v>
      </c>
      <c r="AF8" s="64">
        <v>1</v>
      </c>
      <c r="AG8" s="64">
        <v>1</v>
      </c>
      <c r="AH8" s="64">
        <v>1</v>
      </c>
      <c r="AI8" s="64">
        <v>1</v>
      </c>
      <c r="AJ8" s="64">
        <v>1</v>
      </c>
      <c r="AK8" s="64">
        <v>1</v>
      </c>
      <c r="AL8" s="64">
        <v>1</v>
      </c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Tumalo Ph2</v>
      </c>
      <c r="E9" s="62" t="str">
        <f>IF($H9=0,"",VLOOKUP($H9,정원!$D:$G,2,FALSE))</f>
        <v>NPI IS</v>
      </c>
      <c r="F9" s="62" t="str">
        <f>IF($H9=0,"",VLOOKUP($H9,정원!$D:$G,3,FALSE))</f>
        <v>System 2</v>
      </c>
      <c r="G9" s="62" t="str">
        <f>IF($H9=0,"",VLOOKUP($H9,정원!$D:$G,4,FALSE))</f>
        <v>System engineer</v>
      </c>
      <c r="H9" s="138" t="s">
        <v>190</v>
      </c>
      <c r="I9" s="73">
        <v>46478</v>
      </c>
      <c r="J9" s="73">
        <f t="shared" si="2"/>
        <v>46658</v>
      </c>
      <c r="K9" s="64"/>
      <c r="L9" s="64"/>
      <c r="M9" s="64">
        <v>0.4</v>
      </c>
      <c r="N9" s="64">
        <v>0.4</v>
      </c>
      <c r="O9" s="64"/>
      <c r="P9" s="64"/>
      <c r="Q9" s="64">
        <v>0.4</v>
      </c>
      <c r="R9" s="64">
        <v>0.5</v>
      </c>
      <c r="S9" s="64">
        <v>0.5</v>
      </c>
      <c r="T9" s="64">
        <v>0.5</v>
      </c>
      <c r="U9" s="64">
        <v>0.5</v>
      </c>
      <c r="V9" s="64">
        <v>0.5</v>
      </c>
      <c r="W9" s="64">
        <v>0.5</v>
      </c>
      <c r="X9" s="64">
        <v>0.5</v>
      </c>
      <c r="Y9" s="64">
        <v>0.5</v>
      </c>
      <c r="Z9" s="64">
        <v>0.5</v>
      </c>
      <c r="AA9" s="64">
        <v>0.5</v>
      </c>
      <c r="AB9" s="64">
        <v>0.5</v>
      </c>
      <c r="AC9" s="64">
        <v>0.5</v>
      </c>
      <c r="AD9" s="64">
        <v>1</v>
      </c>
      <c r="AE9" s="64">
        <v>1</v>
      </c>
      <c r="AF9" s="64">
        <v>1</v>
      </c>
      <c r="AG9" s="64">
        <v>1</v>
      </c>
      <c r="AH9" s="64">
        <v>1</v>
      </c>
      <c r="AI9" s="64">
        <v>1</v>
      </c>
      <c r="AJ9" s="64">
        <v>1</v>
      </c>
      <c r="AK9" s="64">
        <v>1</v>
      </c>
      <c r="AL9" s="64">
        <v>1</v>
      </c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Tumalo Ph2</v>
      </c>
      <c r="E10" s="62" t="str">
        <f>IF($H10=0,"",VLOOKUP($H10,정원!$D:$G,2,FALSE))</f>
        <v>NPI IS</v>
      </c>
      <c r="F10" s="62" t="str">
        <f>IF($H10=0,"",VLOOKUP($H10,정원!$D:$G,3,FALSE))</f>
        <v>System 3</v>
      </c>
      <c r="G10" s="62" t="str">
        <f>IF($H10=0,"",VLOOKUP($H10,정원!$D:$G,4,FALSE))</f>
        <v>System engineer</v>
      </c>
      <c r="H10" s="65" t="s">
        <v>199</v>
      </c>
      <c r="I10" s="73">
        <v>46478</v>
      </c>
      <c r="J10" s="73">
        <f t="shared" si="2"/>
        <v>46658</v>
      </c>
      <c r="K10" s="64"/>
      <c r="L10" s="64"/>
      <c r="M10" s="64">
        <v>0.4</v>
      </c>
      <c r="N10" s="64">
        <v>0.4</v>
      </c>
      <c r="O10" s="64">
        <v>0.4</v>
      </c>
      <c r="P10" s="64">
        <v>0.4</v>
      </c>
      <c r="Q10" s="64">
        <v>0.4</v>
      </c>
      <c r="R10" s="64">
        <v>0.4</v>
      </c>
      <c r="S10" s="64">
        <v>0.4</v>
      </c>
      <c r="T10" s="64">
        <v>0.4</v>
      </c>
      <c r="U10" s="64">
        <v>0.4</v>
      </c>
      <c r="V10" s="64">
        <v>0.4</v>
      </c>
      <c r="W10" s="64">
        <v>0.4</v>
      </c>
      <c r="X10" s="64">
        <v>0.4</v>
      </c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Tumalo Ph2</v>
      </c>
      <c r="E11" s="62" t="str">
        <f>IF($H11=0,"",VLOOKUP($H11,정원!$D:$G,2,FALSE))</f>
        <v>NPI IS</v>
      </c>
      <c r="F11" s="62" t="str">
        <f>IF($H11=0,"",VLOOKUP($H11,정원!$D:$G,3,FALSE))</f>
        <v>System 3</v>
      </c>
      <c r="G11" s="62" t="str">
        <f>IF($H11=0,"",VLOOKUP($H11,정원!$D:$G,4,FALSE))</f>
        <v>System engineer</v>
      </c>
      <c r="H11" s="65" t="s">
        <v>198</v>
      </c>
      <c r="I11" s="73">
        <v>46478</v>
      </c>
      <c r="J11" s="73">
        <f t="shared" si="2"/>
        <v>46658</v>
      </c>
      <c r="K11" s="64"/>
      <c r="L11" s="64"/>
      <c r="M11" s="64">
        <v>0.4</v>
      </c>
      <c r="N11" s="64">
        <v>0.4</v>
      </c>
      <c r="O11" s="64">
        <v>0.4</v>
      </c>
      <c r="P11" s="64">
        <v>0.4</v>
      </c>
      <c r="Q11" s="64">
        <v>0.4</v>
      </c>
      <c r="R11" s="64">
        <v>0.4</v>
      </c>
      <c r="S11" s="64">
        <v>0.4</v>
      </c>
      <c r="T11" s="64">
        <v>0.4</v>
      </c>
      <c r="U11" s="64">
        <v>0.4</v>
      </c>
      <c r="V11" s="64">
        <v>0.4</v>
      </c>
      <c r="W11" s="64">
        <v>0.4</v>
      </c>
      <c r="X11" s="64">
        <v>0.4</v>
      </c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Tumalo Ph2</v>
      </c>
      <c r="E12" s="62" t="str">
        <f>IF($H12=0,"",VLOOKUP($H12,정원!$D:$G,2,FALSE))</f>
        <v>NPI IS</v>
      </c>
      <c r="F12" s="62" t="str">
        <f>IF($H12=0,"",VLOOKUP($H12,정원!$D:$G,3,FALSE))</f>
        <v>System 1</v>
      </c>
      <c r="G12" s="62" t="str">
        <f>IF($H12=0,"",VLOOKUP($H12,정원!$D:$G,4,FALSE))</f>
        <v>System engineer</v>
      </c>
      <c r="H12" s="65" t="s">
        <v>183</v>
      </c>
      <c r="I12" s="73">
        <v>46478</v>
      </c>
      <c r="J12" s="73">
        <f t="shared" si="2"/>
        <v>46658</v>
      </c>
      <c r="K12" s="64"/>
      <c r="L12" s="64"/>
      <c r="M12" s="64"/>
      <c r="N12" s="64">
        <v>0.5</v>
      </c>
      <c r="O12" s="64">
        <v>0.5</v>
      </c>
      <c r="P12" s="64">
        <v>0.5</v>
      </c>
      <c r="Q12" s="64">
        <v>0.5</v>
      </c>
      <c r="R12" s="64">
        <v>0.5</v>
      </c>
      <c r="S12" s="64">
        <v>0.5</v>
      </c>
      <c r="T12" s="64">
        <v>0.5</v>
      </c>
      <c r="U12" s="64">
        <v>0.5</v>
      </c>
      <c r="V12" s="64">
        <v>0.5</v>
      </c>
      <c r="W12" s="64">
        <v>0.5</v>
      </c>
      <c r="X12" s="64">
        <v>0.5</v>
      </c>
      <c r="Y12" s="64">
        <v>1</v>
      </c>
      <c r="Z12" s="64">
        <v>1</v>
      </c>
      <c r="AA12" s="64">
        <v>1</v>
      </c>
      <c r="AB12" s="64">
        <v>1</v>
      </c>
      <c r="AC12" s="64">
        <v>1</v>
      </c>
      <c r="AD12" s="64">
        <v>1</v>
      </c>
      <c r="AE12" s="64">
        <v>1</v>
      </c>
      <c r="AF12" s="64">
        <v>1</v>
      </c>
      <c r="AG12" s="64">
        <v>1</v>
      </c>
      <c r="AH12" s="64">
        <v>1</v>
      </c>
      <c r="AI12" s="64">
        <v>1</v>
      </c>
      <c r="AJ12" s="64">
        <v>1</v>
      </c>
      <c r="AK12" s="64">
        <v>1</v>
      </c>
      <c r="AL12" s="64">
        <v>1</v>
      </c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Tumalo Ph2</v>
      </c>
      <c r="E13" s="62" t="str">
        <f>IF($H13=0,"",VLOOKUP($H13,정원!$D:$G,2,FALSE))</f>
        <v>NPI IS</v>
      </c>
      <c r="F13" s="62" t="str">
        <f>IF($H13=0,"",VLOOKUP($H13,정원!$D:$G,3,FALSE))</f>
        <v>System 3</v>
      </c>
      <c r="G13" s="62" t="str">
        <f>IF($H13=0,"",VLOOKUP($H13,정원!$D:$G,4,FALSE))</f>
        <v>Service engineer</v>
      </c>
      <c r="H13" s="65" t="s">
        <v>197</v>
      </c>
      <c r="I13" s="73">
        <v>46478</v>
      </c>
      <c r="J13" s="73">
        <f>I13+180</f>
        <v>46658</v>
      </c>
      <c r="K13" s="64"/>
      <c r="L13" s="64"/>
      <c r="M13" s="64">
        <v>0.4</v>
      </c>
      <c r="N13" s="64">
        <v>0.4</v>
      </c>
      <c r="O13" s="64">
        <v>0.4</v>
      </c>
      <c r="P13" s="64">
        <v>0.4</v>
      </c>
      <c r="Q13" s="64">
        <v>0.4</v>
      </c>
      <c r="R13" s="64">
        <v>0.4</v>
      </c>
      <c r="S13" s="64">
        <v>0.4</v>
      </c>
      <c r="T13" s="64">
        <v>0.4</v>
      </c>
      <c r="U13" s="64">
        <v>0.4</v>
      </c>
      <c r="V13" s="64">
        <v>0.4</v>
      </c>
      <c r="W13" s="64">
        <v>0.4</v>
      </c>
      <c r="X13" s="64">
        <v>0.4</v>
      </c>
      <c r="Y13" s="64">
        <v>1</v>
      </c>
      <c r="Z13" s="64">
        <v>1</v>
      </c>
      <c r="AA13" s="64">
        <v>1</v>
      </c>
      <c r="AB13" s="64">
        <v>1</v>
      </c>
      <c r="AC13" s="64">
        <v>1</v>
      </c>
      <c r="AD13" s="64">
        <v>1</v>
      </c>
      <c r="AE13" s="64">
        <v>1</v>
      </c>
      <c r="AF13" s="64">
        <v>1</v>
      </c>
      <c r="AG13" s="64">
        <v>1</v>
      </c>
      <c r="AH13" s="64">
        <v>1</v>
      </c>
      <c r="AI13" s="64">
        <v>1</v>
      </c>
      <c r="AJ13" s="64">
        <v>1</v>
      </c>
      <c r="AK13" s="64">
        <v>1</v>
      </c>
      <c r="AL13" s="64">
        <v>1</v>
      </c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Tumalo Ph2</v>
      </c>
      <c r="E14" s="62" t="str">
        <f>IF($H14=0,"",VLOOKUP($H14,정원!$D:$G,2,FALSE))</f>
        <v>NPI IS</v>
      </c>
      <c r="F14" s="62" t="str">
        <f>IF($H14=0,"",VLOOKUP($H14,정원!$D:$G,3,FALSE))</f>
        <v>System 1</v>
      </c>
      <c r="G14" s="62" t="str">
        <f>IF($H14=0,"",VLOOKUP($H14,정원!$D:$G,4,FALSE))</f>
        <v>Service engineer</v>
      </c>
      <c r="H14" s="65" t="s">
        <v>181</v>
      </c>
      <c r="I14" s="73">
        <v>46478</v>
      </c>
      <c r="J14" s="73">
        <f>I14+180</f>
        <v>46658</v>
      </c>
      <c r="K14" s="64"/>
      <c r="L14" s="64"/>
      <c r="M14" s="64">
        <v>0.4</v>
      </c>
      <c r="N14" s="64">
        <v>0.4</v>
      </c>
      <c r="O14" s="64">
        <v>0.5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>$A$1</f>
        <v>Tumalo Ph2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System engineer</v>
      </c>
      <c r="H15" s="65" t="s">
        <v>192</v>
      </c>
      <c r="I15" s="73">
        <v>46478</v>
      </c>
      <c r="J15" s="73">
        <f>I15+180</f>
        <v>46658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Tumalo Ph2</v>
      </c>
      <c r="E16" s="62" t="str">
        <f>IF($H16=0,"",VLOOKUP($H16,정원!$D:$G,2,FALSE))</f>
        <v>NPI IS</v>
      </c>
      <c r="F16" s="62" t="str">
        <f>IF($H16=0,"",VLOOKUP($H16,정원!$D:$G,3,FALSE))</f>
        <v>System 1</v>
      </c>
      <c r="G16" s="62" t="str">
        <f>IF($H16=0,"",VLOOKUP($H16,정원!$D:$G,4,FALSE))</f>
        <v>System engineer</v>
      </c>
      <c r="H16" s="65" t="s">
        <v>184</v>
      </c>
      <c r="I16" s="73">
        <v>46478</v>
      </c>
      <c r="J16" s="73">
        <f t="shared" ref="J16" si="3">I16+180</f>
        <v>46658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Tumalo Ph2</v>
      </c>
      <c r="E17" s="62" t="str">
        <f>IF($H17=0,"",VLOOKUP($H17,정원!$D:$G,2,FALSE))</f>
        <v>NPI IS</v>
      </c>
      <c r="F17" s="62" t="str">
        <f>IF($H17=0,"",VLOOKUP($H17,정원!$D:$G,3,FALSE))</f>
        <v>System 1</v>
      </c>
      <c r="G17" s="62" t="str">
        <f>IF($H17=0,"",VLOOKUP($H17,정원!$D:$G,4,FALSE))</f>
        <v>Technician</v>
      </c>
      <c r="H17" s="65" t="s">
        <v>186</v>
      </c>
      <c r="I17" s="73">
        <v>46478</v>
      </c>
      <c r="J17" s="73">
        <f t="shared" si="2"/>
        <v>46658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Tumalo Ph2</v>
      </c>
      <c r="E18" s="62" t="str">
        <f>IF($H18=0,"",VLOOKUP($H18,정원!$D:$G,2,FALSE))</f>
        <v>NPI IS</v>
      </c>
      <c r="F18" s="62" t="str">
        <f>IF($H18=0,"",VLOOKUP($H18,정원!$D:$G,3,FALSE))</f>
        <v>Mechanical</v>
      </c>
      <c r="G18" s="62" t="str">
        <f>IF($H18=0,"",VLOOKUP($H18,정원!$D:$G,4,FALSE))</f>
        <v>Leader</v>
      </c>
      <c r="H18" s="65" t="s">
        <v>293</v>
      </c>
      <c r="I18" s="73">
        <v>46478</v>
      </c>
      <c r="J18" s="73">
        <f t="shared" si="2"/>
        <v>46658</v>
      </c>
      <c r="K18" s="64"/>
      <c r="L18" s="64">
        <v>0.2</v>
      </c>
      <c r="M18" s="64">
        <v>0.2</v>
      </c>
      <c r="N18" s="64">
        <v>0.2</v>
      </c>
      <c r="O18" s="64">
        <v>0.2</v>
      </c>
      <c r="P18" s="64">
        <v>0.2</v>
      </c>
      <c r="Q18" s="64">
        <v>0.3</v>
      </c>
      <c r="R18" s="64">
        <v>0.3</v>
      </c>
      <c r="S18" s="64">
        <v>0.3</v>
      </c>
      <c r="T18" s="64">
        <v>0.3</v>
      </c>
      <c r="U18" s="64">
        <v>0.3</v>
      </c>
      <c r="V18" s="64">
        <v>0.3</v>
      </c>
      <c r="W18" s="64">
        <v>0.3</v>
      </c>
      <c r="X18" s="64">
        <v>0.3</v>
      </c>
      <c r="Y18" s="64">
        <v>0.3</v>
      </c>
      <c r="Z18" s="64">
        <v>0.3</v>
      </c>
      <c r="AA18" s="64">
        <v>0.3</v>
      </c>
      <c r="AB18" s="64">
        <v>0.3</v>
      </c>
      <c r="AC18" s="64">
        <v>0.3</v>
      </c>
      <c r="AD18" s="64">
        <v>0.3</v>
      </c>
      <c r="AE18" s="64">
        <v>0.3</v>
      </c>
      <c r="AF18" s="64">
        <v>0.3</v>
      </c>
      <c r="AG18" s="64">
        <v>0.3</v>
      </c>
      <c r="AH18" s="64">
        <v>0.3</v>
      </c>
      <c r="AI18" s="64">
        <v>0.3</v>
      </c>
      <c r="AJ18" s="64">
        <v>0.3</v>
      </c>
      <c r="AK18" s="64">
        <v>0.3</v>
      </c>
      <c r="AL18" s="64">
        <v>0.3</v>
      </c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Tumalo Ph2</v>
      </c>
      <c r="E19" s="62" t="str">
        <f>IF($H19=0,"",VLOOKUP($H19,정원!$D:$G,2,FALSE))</f>
        <v>NPI IS</v>
      </c>
      <c r="F19" s="62" t="str">
        <f>IF($H19=0,"",VLOOKUP($H19,정원!$D:$G,3,FALSE))</f>
        <v>Mechanical</v>
      </c>
      <c r="G19" s="62" t="str">
        <f>IF($H19=0,"",VLOOKUP($H19,정원!$D:$G,4,FALSE))</f>
        <v>Mechanical engineer</v>
      </c>
      <c r="H19" s="65" t="s">
        <v>294</v>
      </c>
      <c r="I19" s="73">
        <v>46478</v>
      </c>
      <c r="J19" s="73">
        <f t="shared" si="2"/>
        <v>46658</v>
      </c>
      <c r="K19" s="64"/>
      <c r="L19" s="64">
        <v>1</v>
      </c>
      <c r="M19" s="64">
        <v>1</v>
      </c>
      <c r="N19" s="64">
        <v>1</v>
      </c>
      <c r="O19" s="64">
        <v>1</v>
      </c>
      <c r="P19" s="64">
        <v>1</v>
      </c>
      <c r="Q19" s="64">
        <v>1</v>
      </c>
      <c r="R19" s="64">
        <v>1</v>
      </c>
      <c r="S19" s="64">
        <v>1</v>
      </c>
      <c r="T19" s="64">
        <v>1</v>
      </c>
      <c r="U19" s="64">
        <v>1</v>
      </c>
      <c r="V19" s="64">
        <v>1</v>
      </c>
      <c r="W19" s="64">
        <v>1</v>
      </c>
      <c r="X19" s="64">
        <v>1</v>
      </c>
      <c r="Y19" s="64">
        <v>1</v>
      </c>
      <c r="Z19" s="64">
        <v>1</v>
      </c>
      <c r="AA19" s="64">
        <v>1</v>
      </c>
      <c r="AB19" s="64">
        <v>1</v>
      </c>
      <c r="AC19" s="64">
        <v>1</v>
      </c>
      <c r="AD19" s="64">
        <v>1</v>
      </c>
      <c r="AE19" s="64">
        <v>1</v>
      </c>
      <c r="AF19" s="64">
        <v>1</v>
      </c>
      <c r="AG19" s="64">
        <v>1</v>
      </c>
      <c r="AH19" s="64">
        <v>1</v>
      </c>
      <c r="AI19" s="64">
        <v>1</v>
      </c>
      <c r="AJ19" s="64">
        <v>1</v>
      </c>
      <c r="AK19" s="64">
        <v>1</v>
      </c>
      <c r="AL19" s="64">
        <v>1</v>
      </c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Tumalo Ph2</v>
      </c>
      <c r="E20" s="62" t="str">
        <f>IF($H20=0,"",VLOOKUP($H20,정원!$D:$G,2,FALSE))</f>
        <v>NPI IS</v>
      </c>
      <c r="F20" s="62" t="str">
        <f>IF($H20=0,"",VLOOKUP($H20,정원!$D:$G,3,FALSE))</f>
        <v>Mechanical</v>
      </c>
      <c r="G20" s="62" t="str">
        <f>IF($H20=0,"",VLOOKUP($H20,정원!$D:$G,4,FALSE))</f>
        <v>Mechanical engineer</v>
      </c>
      <c r="H20" s="65" t="s">
        <v>295</v>
      </c>
      <c r="I20" s="73">
        <v>46478</v>
      </c>
      <c r="J20" s="73">
        <f t="shared" si="2"/>
        <v>46658</v>
      </c>
      <c r="K20" s="64"/>
      <c r="L20" s="64">
        <v>0.5</v>
      </c>
      <c r="M20" s="64">
        <v>0.5</v>
      </c>
      <c r="N20" s="64">
        <v>0.5</v>
      </c>
      <c r="O20" s="64">
        <v>0.5</v>
      </c>
      <c r="P20" s="64">
        <v>0.5</v>
      </c>
      <c r="Q20" s="64">
        <v>0.5</v>
      </c>
      <c r="R20" s="64">
        <v>0.5</v>
      </c>
      <c r="S20" s="64">
        <v>0.5</v>
      </c>
      <c r="T20" s="64">
        <v>0.5</v>
      </c>
      <c r="U20" s="64">
        <v>0.5</v>
      </c>
      <c r="V20" s="64">
        <v>0.5</v>
      </c>
      <c r="W20" s="64">
        <v>0.5</v>
      </c>
      <c r="X20" s="64">
        <v>0.5</v>
      </c>
      <c r="Y20" s="64">
        <v>1</v>
      </c>
      <c r="Z20" s="64">
        <v>1</v>
      </c>
      <c r="AA20" s="64">
        <v>1</v>
      </c>
      <c r="AB20" s="64">
        <v>1</v>
      </c>
      <c r="AC20" s="64">
        <v>1</v>
      </c>
      <c r="AD20" s="64">
        <v>1</v>
      </c>
      <c r="AE20" s="64">
        <v>1</v>
      </c>
      <c r="AF20" s="64">
        <v>1</v>
      </c>
      <c r="AG20" s="64">
        <v>1</v>
      </c>
      <c r="AH20" s="64">
        <v>1</v>
      </c>
      <c r="AI20" s="64">
        <v>1</v>
      </c>
      <c r="AJ20" s="64">
        <v>1</v>
      </c>
      <c r="AK20" s="64">
        <v>1</v>
      </c>
      <c r="AL20" s="64">
        <v>1</v>
      </c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Tumalo Ph2</v>
      </c>
      <c r="E21" s="62" t="str">
        <f>IF($H21=0,"",VLOOKUP($H21,정원!$D:$G,2,FALSE))</f>
        <v>NPI IS</v>
      </c>
      <c r="F21" s="62" t="str">
        <f>IF($H21=0,"",VLOOKUP($H21,정원!$D:$G,3,FALSE))</f>
        <v>Mechanical</v>
      </c>
      <c r="G21" s="62" t="str">
        <f>IF($H21=0,"",VLOOKUP($H21,정원!$D:$G,4,FALSE))</f>
        <v>Mechanical engineer</v>
      </c>
      <c r="H21" s="65" t="s">
        <v>261</v>
      </c>
      <c r="I21" s="73">
        <v>46478</v>
      </c>
      <c r="J21" s="73">
        <f t="shared" si="2"/>
        <v>46658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>
        <v>1</v>
      </c>
      <c r="Y21" s="64">
        <v>1</v>
      </c>
      <c r="Z21" s="64">
        <v>1</v>
      </c>
      <c r="AA21" s="64">
        <v>1</v>
      </c>
      <c r="AB21" s="64">
        <v>1</v>
      </c>
      <c r="AC21" s="64">
        <v>1</v>
      </c>
      <c r="AD21" s="64">
        <v>1</v>
      </c>
      <c r="AE21" s="64">
        <v>1</v>
      </c>
      <c r="AF21" s="64">
        <v>1</v>
      </c>
      <c r="AG21" s="64">
        <v>1</v>
      </c>
      <c r="AH21" s="64">
        <v>1</v>
      </c>
      <c r="AI21" s="64">
        <v>1</v>
      </c>
      <c r="AJ21" s="64">
        <v>1</v>
      </c>
      <c r="AK21" s="64">
        <v>1</v>
      </c>
      <c r="AL21" s="64">
        <v>1</v>
      </c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Tumalo Ph2</v>
      </c>
      <c r="E22" s="62" t="str">
        <f>IF($H22=0,"",VLOOKUP($H22,정원!$D:$G,2,FALSE))</f>
        <v>NPI IS</v>
      </c>
      <c r="F22" s="62" t="str">
        <f>IF($H22=0,"",VLOOKUP($H22,정원!$D:$G,3,FALSE))</f>
        <v>Mechanical</v>
      </c>
      <c r="G22" s="62" t="str">
        <f>IF($H22=0,"",VLOOKUP($H22,정원!$D:$G,4,FALSE))</f>
        <v>Mechanical engineer</v>
      </c>
      <c r="H22" s="65" t="s">
        <v>264</v>
      </c>
      <c r="I22" s="73">
        <v>46478</v>
      </c>
      <c r="J22" s="73">
        <f t="shared" ref="J22" si="4">I22+180</f>
        <v>46658</v>
      </c>
      <c r="K22" s="64"/>
      <c r="L22" s="64"/>
      <c r="M22" s="64"/>
      <c r="N22" s="64"/>
      <c r="O22" s="64">
        <v>0.5</v>
      </c>
      <c r="P22" s="64">
        <v>0.5</v>
      </c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Tumalo Ph2</v>
      </c>
      <c r="E23" s="62" t="str">
        <f>IF($H23=0,"",VLOOKUP($H23,정원!$D:$G,2,FALSE))</f>
        <v>Control Eng.</v>
      </c>
      <c r="F23" s="62" t="str">
        <f>IF($H23=0,"",VLOOKUP($H23,정원!$D:$G,3,FALSE))</f>
        <v>* Manager</v>
      </c>
      <c r="G23" s="62" t="str">
        <f>IF($H23=0,"",VLOOKUP($H23,정원!$D:$G,4,FALSE))</f>
        <v>* Manager</v>
      </c>
      <c r="H23" s="61" t="s">
        <v>296</v>
      </c>
      <c r="I23" s="73">
        <v>46478</v>
      </c>
      <c r="J23" s="73">
        <f t="shared" si="2"/>
        <v>46658</v>
      </c>
      <c r="K23" s="61"/>
      <c r="L23" s="61">
        <v>0.1</v>
      </c>
      <c r="M23" s="61">
        <v>0.1</v>
      </c>
      <c r="N23" s="61">
        <v>0.1</v>
      </c>
      <c r="O23" s="61">
        <v>0.1</v>
      </c>
      <c r="P23" s="61">
        <v>0.1</v>
      </c>
      <c r="Q23" s="61">
        <v>0.1</v>
      </c>
      <c r="R23" s="61">
        <v>0.1</v>
      </c>
      <c r="S23" s="61">
        <v>0.1</v>
      </c>
      <c r="T23" s="61">
        <v>0.1</v>
      </c>
      <c r="U23" s="61">
        <v>0.1</v>
      </c>
      <c r="V23" s="61">
        <v>0.1</v>
      </c>
      <c r="W23" s="61">
        <v>0.1</v>
      </c>
      <c r="X23" s="61">
        <v>0.1</v>
      </c>
      <c r="Y23" s="61">
        <v>0.1</v>
      </c>
      <c r="Z23" s="61">
        <v>0.1</v>
      </c>
      <c r="AA23" s="61">
        <v>0.1</v>
      </c>
      <c r="AB23" s="61">
        <v>0.1</v>
      </c>
      <c r="AC23" s="61">
        <v>0.1</v>
      </c>
      <c r="AD23" s="61">
        <v>0.1</v>
      </c>
      <c r="AE23" s="61">
        <v>0.1</v>
      </c>
      <c r="AF23" s="61">
        <v>0.1</v>
      </c>
      <c r="AG23" s="61">
        <v>0.1</v>
      </c>
      <c r="AH23" s="61">
        <v>0.1</v>
      </c>
      <c r="AI23" s="61">
        <v>0.1</v>
      </c>
      <c r="AJ23" s="61">
        <v>0.1</v>
      </c>
      <c r="AK23" s="61">
        <v>0.1</v>
      </c>
      <c r="AL23" s="61">
        <v>0.1</v>
      </c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Tumalo Ph2</v>
      </c>
      <c r="E24" s="62" t="str">
        <f>IF($H24=0,"",VLOOKUP($H24,정원!$D:$G,2,FALSE))</f>
        <v>Control Eng.</v>
      </c>
      <c r="F24" s="62" t="str">
        <f>IF($H24=0,"",VLOOKUP($H24,정원!$D:$G,3,FALSE))</f>
        <v>Software</v>
      </c>
      <c r="G24" s="62" t="str">
        <f>IF($H24=0,"",VLOOKUP($H24,정원!$D:$G,4,FALSE))</f>
        <v>Leader</v>
      </c>
      <c r="H24" s="61" t="s">
        <v>76</v>
      </c>
      <c r="I24" s="73">
        <v>46478</v>
      </c>
      <c r="J24" s="73">
        <f t="shared" si="2"/>
        <v>46658</v>
      </c>
      <c r="K24" s="61"/>
      <c r="L24" s="61"/>
      <c r="M24" s="61"/>
      <c r="N24" s="61"/>
      <c r="O24" s="61"/>
      <c r="P24" s="61"/>
      <c r="Q24" s="61"/>
      <c r="R24" s="61">
        <v>0.1</v>
      </c>
      <c r="S24" s="61">
        <v>0.1</v>
      </c>
      <c r="T24" s="61">
        <v>0.2</v>
      </c>
      <c r="U24" s="61">
        <v>0.2</v>
      </c>
      <c r="V24" s="61">
        <v>0.2</v>
      </c>
      <c r="W24" s="61">
        <v>0.2</v>
      </c>
      <c r="X24" s="61">
        <v>0.2</v>
      </c>
      <c r="Y24" s="61">
        <v>0.2</v>
      </c>
      <c r="Z24" s="61">
        <v>0.2</v>
      </c>
      <c r="AA24" s="61">
        <v>0.2</v>
      </c>
      <c r="AB24" s="61">
        <v>0.2</v>
      </c>
      <c r="AC24" s="61">
        <v>0.2</v>
      </c>
      <c r="AD24" s="61">
        <v>0.2</v>
      </c>
      <c r="AE24" s="61">
        <v>0.2</v>
      </c>
      <c r="AF24" s="61">
        <v>0.2</v>
      </c>
      <c r="AG24" s="61">
        <v>0.2</v>
      </c>
      <c r="AH24" s="61">
        <v>0.2</v>
      </c>
      <c r="AI24" s="61">
        <v>0.2</v>
      </c>
      <c r="AJ24" s="61">
        <v>0.2</v>
      </c>
      <c r="AK24" s="61">
        <v>0.2</v>
      </c>
      <c r="AL24" s="61">
        <v>0.2</v>
      </c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 t="shared" si="1"/>
        <v>Tumalo Ph2</v>
      </c>
      <c r="E25" s="62" t="str">
        <f>IF($H25=0,"",VLOOKUP($H25,정원!$D:$G,2,FALSE))</f>
        <v>Control Eng.</v>
      </c>
      <c r="F25" s="62" t="str">
        <f>IF($H25=0,"",VLOOKUP($H25,정원!$D:$G,3,FALSE))</f>
        <v>Software</v>
      </c>
      <c r="G25" s="62" t="str">
        <f>IF($H25=0,"",VLOOKUP($H25,정원!$D:$G,4,FALSE))</f>
        <v>Software engineer</v>
      </c>
      <c r="H25" s="68" t="s">
        <v>297</v>
      </c>
      <c r="I25" s="73">
        <v>46478</v>
      </c>
      <c r="J25" s="73">
        <f t="shared" si="2"/>
        <v>46658</v>
      </c>
      <c r="K25" s="61"/>
      <c r="L25" s="61"/>
      <c r="M25" s="61"/>
      <c r="N25" s="61"/>
      <c r="O25" s="61"/>
      <c r="P25" s="61"/>
      <c r="Q25" s="61"/>
      <c r="R25" s="61">
        <v>1</v>
      </c>
      <c r="S25" s="61">
        <v>1</v>
      </c>
      <c r="T25" s="61">
        <v>1</v>
      </c>
      <c r="U25" s="61">
        <v>1</v>
      </c>
      <c r="V25" s="61">
        <v>1</v>
      </c>
      <c r="W25" s="61">
        <v>1</v>
      </c>
      <c r="X25" s="61">
        <v>1</v>
      </c>
      <c r="Y25" s="61">
        <v>1</v>
      </c>
      <c r="Z25" s="61">
        <v>1</v>
      </c>
      <c r="AA25" s="61">
        <v>1</v>
      </c>
      <c r="AB25" s="61">
        <v>1</v>
      </c>
      <c r="AC25" s="61">
        <v>1</v>
      </c>
      <c r="AD25" s="61">
        <v>1</v>
      </c>
      <c r="AE25" s="61">
        <v>1</v>
      </c>
      <c r="AF25" s="61">
        <v>1</v>
      </c>
      <c r="AG25" s="61">
        <v>1</v>
      </c>
      <c r="AH25" s="61">
        <v>1</v>
      </c>
      <c r="AI25" s="61">
        <v>1</v>
      </c>
      <c r="AJ25" s="61">
        <v>1</v>
      </c>
      <c r="AK25" s="61">
        <v>1</v>
      </c>
      <c r="AL25" s="61">
        <v>1</v>
      </c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6" spans="1:53">
      <c r="A26" s="61">
        <v>24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62" t="str">
        <f t="shared" si="1"/>
        <v>Tumalo Ph2</v>
      </c>
      <c r="E26" s="62" t="str">
        <f>IF($H26=0,"",VLOOKUP($H26,정원!$D:$G,2,FALSE))</f>
        <v>Control Eng.</v>
      </c>
      <c r="F26" s="62" t="str">
        <f>IF($H26=0,"",VLOOKUP($H26,정원!$D:$G,3,FALSE))</f>
        <v>Software</v>
      </c>
      <c r="G26" s="62" t="str">
        <f>IF($H26=0,"",VLOOKUP($H26,정원!$D:$G,4,FALSE))</f>
        <v>Software engineer</v>
      </c>
      <c r="H26" s="66" t="s">
        <v>174</v>
      </c>
      <c r="I26" s="73">
        <v>46478</v>
      </c>
      <c r="J26" s="73">
        <f t="shared" si="2"/>
        <v>46658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>
        <v>1</v>
      </c>
      <c r="Z26" s="61">
        <v>1</v>
      </c>
      <c r="AA26" s="61">
        <v>1</v>
      </c>
      <c r="AB26" s="61">
        <v>1</v>
      </c>
      <c r="AC26" s="61">
        <v>1</v>
      </c>
      <c r="AD26" s="61">
        <v>1</v>
      </c>
      <c r="AE26" s="61">
        <v>1</v>
      </c>
      <c r="AF26" s="61">
        <v>1</v>
      </c>
      <c r="AG26" s="61">
        <v>1</v>
      </c>
      <c r="AH26" s="61">
        <v>1</v>
      </c>
      <c r="AI26" s="61">
        <v>1</v>
      </c>
      <c r="AJ26" s="61">
        <v>1</v>
      </c>
      <c r="AK26" s="61">
        <v>1</v>
      </c>
      <c r="AL26" s="61">
        <v>1</v>
      </c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</row>
    <row r="27" spans="1:53">
      <c r="A27" s="61">
        <v>25</v>
      </c>
      <c r="B27" s="31" t="str">
        <f>IF($D27=0,"",VLOOKUP($D27,'Project IO'!$B:$E,3,FALSE))</f>
        <v>Active</v>
      </c>
      <c r="C27" s="31" t="str">
        <f>IF($D27=0,"",VLOOKUP($D27,'Project IO'!$B:$E,4,FALSE))</f>
        <v>Active</v>
      </c>
      <c r="D27" s="62" t="str">
        <f t="shared" si="1"/>
        <v>Tumalo Ph2</v>
      </c>
      <c r="E27" s="62" t="str">
        <f>IF($H27=0,"",VLOOKUP($H27,정원!$D:$G,2,FALSE))</f>
        <v>Control Eng.</v>
      </c>
      <c r="F27" s="62" t="str">
        <f>IF($H27=0,"",VLOOKUP($H27,정원!$D:$G,3,FALSE))</f>
        <v>Software</v>
      </c>
      <c r="G27" s="62" t="str">
        <f>IF($H27=0,"",VLOOKUP($H27,정원!$D:$G,4,FALSE))</f>
        <v>SW test engineer</v>
      </c>
      <c r="H27" s="66" t="s">
        <v>298</v>
      </c>
      <c r="I27" s="73">
        <v>46478</v>
      </c>
      <c r="J27" s="73">
        <f t="shared" si="2"/>
        <v>46658</v>
      </c>
      <c r="K27" s="61"/>
      <c r="L27" s="61"/>
      <c r="M27" s="61"/>
      <c r="N27" s="61"/>
      <c r="O27" s="61"/>
      <c r="P27" s="61"/>
      <c r="Q27" s="61"/>
      <c r="R27" s="61">
        <v>1</v>
      </c>
      <c r="S27" s="61">
        <v>1</v>
      </c>
      <c r="T27" s="61">
        <v>1</v>
      </c>
      <c r="U27" s="61">
        <v>1</v>
      </c>
      <c r="V27" s="61">
        <v>1</v>
      </c>
      <c r="W27" s="61">
        <v>1</v>
      </c>
      <c r="X27" s="61">
        <v>1</v>
      </c>
      <c r="Y27" s="61">
        <v>1</v>
      </c>
      <c r="Z27" s="61">
        <v>1</v>
      </c>
      <c r="AA27" s="61">
        <v>1</v>
      </c>
      <c r="AB27" s="61">
        <v>1</v>
      </c>
      <c r="AC27" s="61">
        <v>1</v>
      </c>
      <c r="AD27" s="61">
        <v>1</v>
      </c>
      <c r="AE27" s="61">
        <v>1</v>
      </c>
      <c r="AF27" s="61">
        <v>1</v>
      </c>
      <c r="AG27" s="61">
        <v>1</v>
      </c>
      <c r="AH27" s="61">
        <v>1</v>
      </c>
      <c r="AI27" s="61">
        <v>1</v>
      </c>
      <c r="AJ27" s="61">
        <v>1</v>
      </c>
      <c r="AK27" s="61">
        <v>1</v>
      </c>
      <c r="AL27" s="61">
        <v>1</v>
      </c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</row>
    <row r="28" spans="1:53">
      <c r="A28" s="61">
        <v>26</v>
      </c>
      <c r="B28" s="31" t="str">
        <f>IF($D28=0,"",VLOOKUP($D28,'Project IO'!$B:$E,3,FALSE))</f>
        <v>Active</v>
      </c>
      <c r="C28" s="31" t="str">
        <f>IF($D28=0,"",VLOOKUP($D28,'Project IO'!$B:$E,4,FALSE))</f>
        <v>Active</v>
      </c>
      <c r="D28" s="62" t="str">
        <f t="shared" si="1"/>
        <v>Tumalo Ph2</v>
      </c>
      <c r="E28" s="62" t="str">
        <f>IF($H28=0,"",VLOOKUP($H28,정원!$D:$G,2,FALSE))</f>
        <v>Control Eng.</v>
      </c>
      <c r="F28" s="62" t="str">
        <f>IF($H28=0,"",VLOOKUP($H28,정원!$D:$G,3,FALSE))</f>
        <v>Software</v>
      </c>
      <c r="G28" s="62" t="str">
        <f>IF($H28=0,"",VLOOKUP($H28,정원!$D:$G,4,FALSE))</f>
        <v>SW test engineer</v>
      </c>
      <c r="H28" s="66" t="s">
        <v>290</v>
      </c>
      <c r="I28" s="73">
        <v>46478</v>
      </c>
      <c r="J28" s="73">
        <f t="shared" si="2"/>
        <v>46658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>
        <v>0.5</v>
      </c>
      <c r="V28" s="61">
        <v>0.5</v>
      </c>
      <c r="W28" s="61">
        <v>0.5</v>
      </c>
      <c r="X28" s="61">
        <v>0.5</v>
      </c>
      <c r="Y28" s="61">
        <v>0.5</v>
      </c>
      <c r="Z28" s="61">
        <v>0.5</v>
      </c>
      <c r="AA28" s="61">
        <v>0.5</v>
      </c>
      <c r="AB28" s="61">
        <v>0.5</v>
      </c>
      <c r="AC28" s="61">
        <v>0.5</v>
      </c>
      <c r="AD28" s="61">
        <v>0.5</v>
      </c>
      <c r="AE28" s="61">
        <v>0.5</v>
      </c>
      <c r="AF28" s="61">
        <v>0.5</v>
      </c>
      <c r="AG28" s="61">
        <v>0.5</v>
      </c>
      <c r="AH28" s="61">
        <v>0.5</v>
      </c>
      <c r="AI28" s="61">
        <v>0.5</v>
      </c>
      <c r="AJ28" s="61">
        <v>0.5</v>
      </c>
      <c r="AK28" s="61">
        <v>0.5</v>
      </c>
      <c r="AL28" s="61">
        <v>0.5</v>
      </c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</row>
    <row r="29" spans="1:53">
      <c r="A29" s="61">
        <v>26</v>
      </c>
      <c r="B29" s="31" t="str">
        <f>IF($D29=0,"",VLOOKUP($D29,'Project IO'!$B:$E,3,FALSE))</f>
        <v>Active</v>
      </c>
      <c r="C29" s="31" t="str">
        <f>IF($D29=0,"",VLOOKUP($D29,'Project IO'!$B:$E,4,FALSE))</f>
        <v>Active</v>
      </c>
      <c r="D29" s="62" t="str">
        <f t="shared" si="1"/>
        <v>Tumalo Ph2</v>
      </c>
      <c r="E29" s="62" t="str">
        <f>IF($H29=0,"",VLOOKUP($H29,정원!$D:$G,2,FALSE))</f>
        <v>Control Eng.</v>
      </c>
      <c r="F29" s="62" t="str">
        <f>IF($H29=0,"",VLOOKUP($H29,정원!$D:$G,3,FALSE))</f>
        <v>Software</v>
      </c>
      <c r="G29" s="62" t="str">
        <f>IF($H29=0,"",VLOOKUP($H29,정원!$D:$G,4,FALSE))</f>
        <v>Software engineer</v>
      </c>
      <c r="H29" s="66" t="s">
        <v>175</v>
      </c>
      <c r="I29" s="73">
        <v>46478</v>
      </c>
      <c r="J29" s="73">
        <f t="shared" ref="J29" si="5">I29+180</f>
        <v>46658</v>
      </c>
      <c r="K29" s="61"/>
      <c r="L29" s="61">
        <v>1</v>
      </c>
      <c r="M29" s="61">
        <v>1</v>
      </c>
      <c r="N29" s="61">
        <v>1</v>
      </c>
      <c r="O29" s="61">
        <v>1</v>
      </c>
      <c r="P29" s="61">
        <v>1</v>
      </c>
      <c r="Q29" s="61">
        <v>1</v>
      </c>
      <c r="R29" s="61">
        <v>1</v>
      </c>
      <c r="S29" s="61">
        <v>1</v>
      </c>
      <c r="T29" s="61">
        <v>1</v>
      </c>
      <c r="U29" s="61">
        <v>1</v>
      </c>
      <c r="V29" s="61">
        <v>1</v>
      </c>
      <c r="W29" s="61">
        <v>1</v>
      </c>
      <c r="X29" s="61">
        <v>1</v>
      </c>
      <c r="Y29" s="61">
        <v>1</v>
      </c>
      <c r="Z29" s="61">
        <v>1</v>
      </c>
      <c r="AA29" s="61">
        <v>1</v>
      </c>
      <c r="AB29" s="61">
        <v>1</v>
      </c>
      <c r="AC29" s="61">
        <v>1</v>
      </c>
      <c r="AD29" s="61">
        <v>1</v>
      </c>
      <c r="AE29" s="61">
        <v>1</v>
      </c>
      <c r="AF29" s="61">
        <v>1</v>
      </c>
      <c r="AG29" s="61">
        <v>1</v>
      </c>
      <c r="AH29" s="61">
        <v>1</v>
      </c>
      <c r="AI29" s="61">
        <v>1</v>
      </c>
      <c r="AJ29" s="61">
        <v>1</v>
      </c>
      <c r="AK29" s="61">
        <v>1</v>
      </c>
      <c r="AL29" s="61">
        <v>1</v>
      </c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</row>
    <row r="30" spans="1:53">
      <c r="A30" s="61">
        <v>27</v>
      </c>
      <c r="B30" s="31" t="str">
        <f>IF($D30=0,"",VLOOKUP($D30,'Project IO'!$B:$E,3,FALSE))</f>
        <v>Active</v>
      </c>
      <c r="C30" s="31" t="str">
        <f>IF($D30=0,"",VLOOKUP($D30,'Project IO'!$B:$E,4,FALSE))</f>
        <v>Active</v>
      </c>
      <c r="D30" s="62" t="str">
        <f t="shared" si="1"/>
        <v>Tumalo Ph2</v>
      </c>
      <c r="E30" s="62" t="str">
        <f>IF($H30=0,"",VLOOKUP($H30,정원!$D:$G,2,FALSE))</f>
        <v>Control Eng.</v>
      </c>
      <c r="F30" s="62" t="str">
        <f>IF($H30=0,"",VLOOKUP($H30,정원!$D:$G,3,FALSE))</f>
        <v>Electrical</v>
      </c>
      <c r="G30" s="62" t="str">
        <f>IF($H30=0,"",VLOOKUP($H30,정원!$D:$G,4,FALSE))</f>
        <v>Leader</v>
      </c>
      <c r="H30" s="61" t="s">
        <v>79</v>
      </c>
      <c r="I30" s="73">
        <v>46478</v>
      </c>
      <c r="J30" s="73">
        <f t="shared" si="2"/>
        <v>46658</v>
      </c>
      <c r="K30" s="61"/>
      <c r="L30" s="61">
        <v>0.3</v>
      </c>
      <c r="M30" s="61">
        <v>0.3</v>
      </c>
      <c r="N30" s="61">
        <v>0.2</v>
      </c>
      <c r="O30" s="61">
        <v>0.2</v>
      </c>
      <c r="P30" s="61">
        <v>0.2</v>
      </c>
      <c r="Q30" s="61">
        <v>0.2</v>
      </c>
      <c r="R30" s="61">
        <v>0.2</v>
      </c>
      <c r="S30" s="61">
        <v>0.2</v>
      </c>
      <c r="T30" s="61">
        <v>0.2</v>
      </c>
      <c r="U30" s="61">
        <v>0.2</v>
      </c>
      <c r="V30" s="61">
        <v>0.2</v>
      </c>
      <c r="W30" s="61">
        <v>0.2</v>
      </c>
      <c r="X30" s="61">
        <v>0.2</v>
      </c>
      <c r="Y30" s="61">
        <v>0.2</v>
      </c>
      <c r="Z30" s="61">
        <v>0.2</v>
      </c>
      <c r="AA30" s="61">
        <v>0.2</v>
      </c>
      <c r="AB30" s="61">
        <v>0.2</v>
      </c>
      <c r="AC30" s="61">
        <v>0.2</v>
      </c>
      <c r="AD30" s="61">
        <v>0.2</v>
      </c>
      <c r="AE30" s="61">
        <v>0.2</v>
      </c>
      <c r="AF30" s="61">
        <v>0.2</v>
      </c>
      <c r="AG30" s="61">
        <v>0.1</v>
      </c>
      <c r="AH30" s="61">
        <v>0.1</v>
      </c>
      <c r="AI30" s="61">
        <v>0.1</v>
      </c>
      <c r="AJ30" s="61">
        <v>0.1</v>
      </c>
      <c r="AK30" s="61">
        <v>0.1</v>
      </c>
      <c r="AL30" s="61">
        <v>0.1</v>
      </c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 spans="1:53">
      <c r="A31" s="61">
        <v>28</v>
      </c>
      <c r="B31" s="31" t="str">
        <f>IF($D31=0,"",VLOOKUP($D31,'Project IO'!$B:$E,3,FALSE))</f>
        <v>Active</v>
      </c>
      <c r="C31" s="31" t="str">
        <f>IF($D31=0,"",VLOOKUP($D31,'Project IO'!$B:$E,4,FALSE))</f>
        <v>Active</v>
      </c>
      <c r="D31" s="62" t="str">
        <f t="shared" si="1"/>
        <v>Tumalo Ph2</v>
      </c>
      <c r="E31" s="62" t="str">
        <f>IF($H31=0,"",VLOOKUP($H31,정원!$D:$G,2,FALSE))</f>
        <v>Control Eng.</v>
      </c>
      <c r="F31" s="62" t="str">
        <f>IF($H31=0,"",VLOOKUP($H31,정원!$D:$G,3,FALSE))</f>
        <v>Electrical</v>
      </c>
      <c r="G31" s="62" t="str">
        <f>IF($H31=0,"",VLOOKUP($H31,정원!$D:$G,4,FALSE))</f>
        <v>Electrical engineer</v>
      </c>
      <c r="H31" s="68" t="s">
        <v>299</v>
      </c>
      <c r="I31" s="73">
        <v>46478</v>
      </c>
      <c r="J31" s="73">
        <f t="shared" si="2"/>
        <v>46658</v>
      </c>
      <c r="K31" s="61"/>
      <c r="L31" s="61"/>
      <c r="M31" s="61">
        <v>0.5</v>
      </c>
      <c r="N31" s="61">
        <v>1</v>
      </c>
      <c r="O31" s="61">
        <v>1</v>
      </c>
      <c r="P31" s="61">
        <v>1</v>
      </c>
      <c r="Q31" s="61">
        <v>1</v>
      </c>
      <c r="R31" s="61">
        <v>1</v>
      </c>
      <c r="S31" s="61">
        <v>1</v>
      </c>
      <c r="T31" s="61">
        <v>1</v>
      </c>
      <c r="U31" s="61">
        <v>1</v>
      </c>
      <c r="V31" s="61">
        <v>1</v>
      </c>
      <c r="W31" s="61">
        <v>1</v>
      </c>
      <c r="X31" s="61">
        <v>1</v>
      </c>
      <c r="Y31" s="61">
        <v>1</v>
      </c>
      <c r="Z31" s="61">
        <v>1</v>
      </c>
      <c r="AA31" s="61">
        <v>1</v>
      </c>
      <c r="AB31" s="61">
        <v>1</v>
      </c>
      <c r="AC31" s="61">
        <v>1</v>
      </c>
      <c r="AD31" s="61">
        <v>1</v>
      </c>
      <c r="AE31" s="61">
        <v>1</v>
      </c>
      <c r="AF31" s="61">
        <v>1</v>
      </c>
      <c r="AG31" s="61">
        <v>1</v>
      </c>
      <c r="AH31" s="61">
        <v>1</v>
      </c>
      <c r="AI31" s="61">
        <v>1</v>
      </c>
      <c r="AJ31" s="61">
        <v>1</v>
      </c>
      <c r="AK31" s="61">
        <v>1</v>
      </c>
      <c r="AL31" s="61">
        <v>1</v>
      </c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 spans="1:53">
      <c r="A32" s="61">
        <v>29</v>
      </c>
      <c r="B32" s="31" t="str">
        <f>IF($D32=0,"",VLOOKUP($D32,'Project IO'!$B:$E,3,FALSE))</f>
        <v>Active</v>
      </c>
      <c r="C32" s="31" t="str">
        <f>IF($D32=0,"",VLOOKUP($D32,'Project IO'!$B:$E,4,FALSE))</f>
        <v>Active</v>
      </c>
      <c r="D32" s="62" t="str">
        <f t="shared" si="1"/>
        <v>Tumalo Ph2</v>
      </c>
      <c r="E32" s="62" t="str">
        <f>IF($H32=0,"",VLOOKUP($H32,정원!$D:$G,2,FALSE))</f>
        <v>Control Eng.</v>
      </c>
      <c r="F32" s="62" t="str">
        <f>IF($H32=0,"",VLOOKUP($H32,정원!$D:$G,3,FALSE))</f>
        <v>Electrical</v>
      </c>
      <c r="G32" s="62" t="str">
        <f>IF($H32=0,"",VLOOKUP($H32,정원!$D:$G,4,FALSE))</f>
        <v>Electrical engineer</v>
      </c>
      <c r="H32" s="68" t="s">
        <v>300</v>
      </c>
      <c r="I32" s="73">
        <v>46478</v>
      </c>
      <c r="J32" s="73">
        <f t="shared" si="2"/>
        <v>46658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 spans="1:53">
      <c r="A33" s="61">
        <v>30</v>
      </c>
      <c r="B33" s="31" t="str">
        <f>IF($D33=0,"",VLOOKUP($D33,'Project IO'!$B:$E,3,FALSE))</f>
        <v>Active</v>
      </c>
      <c r="C33" s="31" t="str">
        <f>IF($D33=0,"",VLOOKUP($D33,'Project IO'!$B:$E,4,FALSE))</f>
        <v>Active</v>
      </c>
      <c r="D33" s="62" t="str">
        <f t="shared" si="1"/>
        <v>Tumalo Ph2</v>
      </c>
      <c r="E33" s="62" t="str">
        <f>IF($H33=0,"",VLOOKUP($H33,정원!$D:$G,2,FALSE))</f>
        <v>Control Eng.</v>
      </c>
      <c r="F33" s="62" t="str">
        <f>IF($H33=0,"",VLOOKUP($H33,정원!$D:$G,3,FALSE))</f>
        <v>Electrical</v>
      </c>
      <c r="G33" s="62" t="str">
        <f>IF($H33=0,"",VLOOKUP($H33,정원!$D:$G,4,FALSE))</f>
        <v>Electrical engineer</v>
      </c>
      <c r="H33" s="68" t="s">
        <v>271</v>
      </c>
      <c r="I33" s="73">
        <v>46478</v>
      </c>
      <c r="J33" s="73">
        <f t="shared" si="2"/>
        <v>46658</v>
      </c>
      <c r="K33" s="61"/>
      <c r="L33" s="61"/>
      <c r="M33" s="61"/>
      <c r="N33" s="61">
        <v>0.5</v>
      </c>
      <c r="O33" s="61">
        <v>0.5</v>
      </c>
      <c r="P33" s="61">
        <v>0.5</v>
      </c>
      <c r="Q33" s="61">
        <v>0.5</v>
      </c>
      <c r="R33" s="61">
        <v>1</v>
      </c>
      <c r="S33" s="61">
        <v>1</v>
      </c>
      <c r="T33" s="61">
        <v>1</v>
      </c>
      <c r="U33" s="61">
        <v>1</v>
      </c>
      <c r="V33" s="61">
        <v>1</v>
      </c>
      <c r="W33" s="61">
        <v>1</v>
      </c>
      <c r="X33" s="61">
        <v>1</v>
      </c>
      <c r="Y33" s="61">
        <v>1</v>
      </c>
      <c r="Z33" s="61">
        <v>1</v>
      </c>
      <c r="AA33" s="61">
        <v>1</v>
      </c>
      <c r="AB33" s="61">
        <v>1</v>
      </c>
      <c r="AC33" s="61">
        <v>1</v>
      </c>
      <c r="AD33" s="61">
        <v>1</v>
      </c>
      <c r="AE33" s="61">
        <v>1</v>
      </c>
      <c r="AF33" s="61">
        <v>1</v>
      </c>
      <c r="AG33" s="61">
        <v>1</v>
      </c>
      <c r="AH33" s="61">
        <v>1</v>
      </c>
      <c r="AI33" s="61">
        <v>1</v>
      </c>
      <c r="AJ33" s="61">
        <v>1</v>
      </c>
      <c r="AK33" s="61">
        <v>1</v>
      </c>
      <c r="AL33" s="61">
        <v>1</v>
      </c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  <row r="34" spans="1:53" s="85" customFormat="1">
      <c r="A34" s="61">
        <v>31</v>
      </c>
      <c r="B34" s="31" t="str">
        <f>IF($D34=0,"",VLOOKUP($D34,'Project IO'!$B:$E,3,FALSE))</f>
        <v>Active</v>
      </c>
      <c r="C34" s="31" t="str">
        <f>IF($D34=0,"",VLOOKUP($D34,'Project IO'!$B:$E,4,FALSE))</f>
        <v>Active</v>
      </c>
      <c r="D34" s="62" t="str">
        <f t="shared" si="1"/>
        <v>Tumalo Ph2</v>
      </c>
      <c r="E34" s="62">
        <f>IF($H34=0,"",VLOOKUP($H34,정원!$D:$G,2,FALSE))</f>
        <v>0</v>
      </c>
      <c r="F34" s="62">
        <f>IF($H34=0,"",VLOOKUP($H34,정원!$D:$G,3,FALSE))</f>
        <v>0</v>
      </c>
      <c r="G34" s="62">
        <f>IF($H34=0,"",VLOOKUP($H34,정원!$D:$G,4,FALSE))</f>
        <v>0</v>
      </c>
      <c r="H34" s="66" t="s">
        <v>81</v>
      </c>
      <c r="I34" s="73">
        <v>46478</v>
      </c>
      <c r="J34" s="73">
        <f t="shared" si="2"/>
        <v>46658</v>
      </c>
      <c r="K34" s="84"/>
      <c r="L34" s="84" t="s">
        <v>301</v>
      </c>
      <c r="M34" s="84"/>
      <c r="N34" s="84"/>
      <c r="O34" s="84"/>
      <c r="P34" s="84"/>
      <c r="Q34" s="84"/>
      <c r="R34" s="84" t="s">
        <v>302</v>
      </c>
      <c r="S34" s="84"/>
      <c r="T34" s="84"/>
      <c r="U34" s="84"/>
      <c r="W34" s="84"/>
      <c r="X34" s="84" t="s">
        <v>303</v>
      </c>
      <c r="Y34" s="84"/>
      <c r="Z34" s="84"/>
      <c r="AA34" s="84"/>
      <c r="AD34" s="84"/>
      <c r="AE34" s="84"/>
      <c r="AF34" s="84"/>
      <c r="AG34" s="84" t="s">
        <v>64</v>
      </c>
      <c r="AH34" s="84"/>
      <c r="AI34" s="84"/>
      <c r="AJ34" s="84"/>
      <c r="AK34" s="84"/>
      <c r="AL34" s="84" t="s">
        <v>84</v>
      </c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</row>
  </sheetData>
  <phoneticPr fontId="1" type="noConversion"/>
  <dataValidations count="2">
    <dataValidation type="list" allowBlank="1" showInputMessage="1" showErrorMessage="1" sqref="E35:E1048576" xr:uid="{B343C280-38AE-4329-812B-17BDC3955771}">
      <formula1>"Engineering, PMO, System engineering, Control Engineering"</formula1>
    </dataValidation>
    <dataValidation type="list" allowBlank="1" showInputMessage="1" showErrorMessage="1" sqref="F35:F1048576" xr:uid="{F60E8F5B-FE7B-4801-AFB7-37AF15C8D739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ABD25F-BA5D-41E3-B1BD-0EEFF730538F}">
          <x14:formula1>
            <xm:f>'Project IO'!$B$4:$B$101</xm:f>
          </x14:formula1>
          <xm:sqref>A1</xm:sqref>
        </x14:dataValidation>
        <x14:dataValidation type="list" allowBlank="1" showInputMessage="1" showErrorMessage="1" xr:uid="{60FA3FC1-D7ED-4E84-8174-107668D5655F}">
          <x14:formula1>
            <xm:f>정원!$D:$D</xm:f>
          </x14:formula1>
          <xm:sqref>H3:H1048576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3FDA-7AA7-4B73-8FFD-FFB7BBEDD4D2}">
  <sheetPr>
    <tabColor theme="6" tint="0.79998168889431442"/>
  </sheetPr>
  <dimension ref="A1:BA1048551"/>
  <sheetViews>
    <sheetView topLeftCell="D1" zoomScale="115" zoomScaleNormal="115" workbookViewId="0">
      <selection activeCell="Q10" sqref="Q10"/>
    </sheetView>
  </sheetViews>
  <sheetFormatPr defaultRowHeight="16.5"/>
  <cols>
    <col min="1" max="1" width="10.625" customWidth="1"/>
    <col min="2" max="2" width="7.625" customWidth="1"/>
    <col min="3" max="3" width="13.125" customWidth="1"/>
    <col min="4" max="4" width="26.625" bestFit="1" customWidth="1"/>
    <col min="5" max="5" width="18.125" bestFit="1" customWidth="1"/>
    <col min="6" max="6" width="13.625" customWidth="1"/>
    <col min="7" max="7" width="17.125" style="16" customWidth="1"/>
    <col min="8" max="8" width="19.125" bestFit="1" customWidth="1"/>
    <col min="9" max="9" width="10.125" bestFit="1" customWidth="1"/>
    <col min="20" max="21" width="12.625" bestFit="1" customWidth="1"/>
  </cols>
  <sheetData>
    <row r="1" spans="1:53" s="16" customFormat="1" ht="27" customHeight="1">
      <c r="A1" s="48" t="s">
        <v>146</v>
      </c>
      <c r="B1" s="90">
        <f>IF($A$1=0,"",VLOOKUP(A1,'Project IO'!$B$4:$C$101,2,FALSE))</f>
        <v>407140</v>
      </c>
      <c r="C1" s="125"/>
      <c r="D1" s="126" t="s">
        <v>53</v>
      </c>
      <c r="E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16">
        <f>SUM(K3:K1048576)</f>
        <v>0</v>
      </c>
      <c r="L1" s="16">
        <f>SUM(L3:L1048576)</f>
        <v>0</v>
      </c>
      <c r="M1" s="16">
        <f>SUM(M3:M1048576)</f>
        <v>0.2</v>
      </c>
      <c r="N1" s="16">
        <f t="shared" ref="N1:S1" si="0">SUM(N3:N21)</f>
        <v>6.3999999999999995</v>
      </c>
      <c r="O1" s="16">
        <f t="shared" si="0"/>
        <v>5.2</v>
      </c>
      <c r="P1" s="16">
        <f t="shared" si="0"/>
        <v>5.2</v>
      </c>
      <c r="Q1" s="16">
        <f t="shared" si="0"/>
        <v>2.8</v>
      </c>
      <c r="R1" s="16">
        <f t="shared" si="0"/>
        <v>0</v>
      </c>
      <c r="S1" s="16">
        <f t="shared" si="0"/>
        <v>0</v>
      </c>
      <c r="T1" s="16">
        <f t="shared" ref="T1:BA1" si="1">SUM(T3:T1048576)</f>
        <v>0</v>
      </c>
      <c r="U1" s="16">
        <f t="shared" si="1"/>
        <v>0</v>
      </c>
      <c r="V1" s="16">
        <f t="shared" si="1"/>
        <v>0</v>
      </c>
      <c r="W1" s="16">
        <f t="shared" si="1"/>
        <v>0</v>
      </c>
      <c r="X1" s="16">
        <f t="shared" si="1"/>
        <v>0</v>
      </c>
      <c r="Y1" s="16">
        <f t="shared" si="1"/>
        <v>0</v>
      </c>
      <c r="Z1" s="16">
        <f t="shared" si="1"/>
        <v>0</v>
      </c>
      <c r="AA1" s="16">
        <f t="shared" si="1"/>
        <v>0</v>
      </c>
      <c r="AB1" s="16">
        <f t="shared" si="1"/>
        <v>0</v>
      </c>
      <c r="AC1" s="16">
        <f t="shared" si="1"/>
        <v>0</v>
      </c>
      <c r="AD1" s="16">
        <f t="shared" si="1"/>
        <v>0</v>
      </c>
      <c r="AE1" s="16">
        <f t="shared" si="1"/>
        <v>0</v>
      </c>
      <c r="AF1" s="16">
        <f t="shared" si="1"/>
        <v>0</v>
      </c>
      <c r="AG1" s="16">
        <f t="shared" si="1"/>
        <v>0</v>
      </c>
      <c r="AH1" s="16">
        <f t="shared" si="1"/>
        <v>0</v>
      </c>
      <c r="AI1" s="16">
        <f t="shared" si="1"/>
        <v>0</v>
      </c>
      <c r="AJ1" s="16">
        <f t="shared" si="1"/>
        <v>0</v>
      </c>
      <c r="AK1" s="16">
        <f t="shared" si="1"/>
        <v>0</v>
      </c>
      <c r="AL1" s="16">
        <f t="shared" si="1"/>
        <v>0</v>
      </c>
      <c r="AM1" s="16">
        <f t="shared" si="1"/>
        <v>0</v>
      </c>
      <c r="AN1" s="16">
        <f t="shared" si="1"/>
        <v>0</v>
      </c>
      <c r="AO1" s="16">
        <f t="shared" si="1"/>
        <v>0</v>
      </c>
      <c r="AP1" s="16">
        <f t="shared" si="1"/>
        <v>0</v>
      </c>
      <c r="AQ1" s="16">
        <f t="shared" si="1"/>
        <v>0</v>
      </c>
      <c r="AR1" s="16">
        <f t="shared" si="1"/>
        <v>0</v>
      </c>
      <c r="AS1" s="16">
        <f t="shared" si="1"/>
        <v>0</v>
      </c>
      <c r="AT1" s="16">
        <f t="shared" si="1"/>
        <v>0</v>
      </c>
      <c r="AU1" s="16">
        <f t="shared" si="1"/>
        <v>0</v>
      </c>
      <c r="AV1" s="16">
        <f t="shared" si="1"/>
        <v>0</v>
      </c>
      <c r="AW1" s="16">
        <f t="shared" si="1"/>
        <v>0</v>
      </c>
      <c r="AX1" s="16">
        <f t="shared" si="1"/>
        <v>0</v>
      </c>
      <c r="AY1" s="16">
        <f t="shared" si="1"/>
        <v>0</v>
      </c>
      <c r="AZ1" s="16">
        <f t="shared" si="1"/>
        <v>0</v>
      </c>
      <c r="BA1" s="16">
        <f t="shared" si="1"/>
        <v>0</v>
      </c>
    </row>
    <row r="2" spans="1:53">
      <c r="A2" s="91" t="s">
        <v>56</v>
      </c>
      <c r="B2" s="92" t="s">
        <v>57</v>
      </c>
      <c r="C2" s="86" t="s">
        <v>208</v>
      </c>
      <c r="D2" s="129" t="s">
        <v>59</v>
      </c>
      <c r="E2" s="129" t="s">
        <v>60</v>
      </c>
      <c r="F2" s="129" t="s">
        <v>61</v>
      </c>
      <c r="G2" s="129" t="s">
        <v>62</v>
      </c>
      <c r="H2" s="32" t="s">
        <v>63</v>
      </c>
      <c r="I2" s="33" t="s">
        <v>64</v>
      </c>
      <c r="J2" s="33" t="s">
        <v>65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>
      <c r="A3" s="7">
        <v>1</v>
      </c>
      <c r="B3" s="31" t="str">
        <f>IF($D3=0,"",VLOOKUP($D3,'Project IO'!$B:$D,3,FALSE))</f>
        <v>Active</v>
      </c>
      <c r="C3" s="31" t="str">
        <f>IF($D3=0,"",VLOOKUP($D3,'Project IO'!$B:$E,4,FALSE))</f>
        <v>ETO</v>
      </c>
      <c r="D3" s="62" t="str">
        <f t="shared" ref="D3:D19" si="2">$A$1</f>
        <v>Gen3 EUV Zenith Plus 7SRC TSMC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67</v>
      </c>
      <c r="I3" s="74"/>
      <c r="J3" s="74"/>
      <c r="M3">
        <v>0.2</v>
      </c>
      <c r="N3">
        <v>0.2</v>
      </c>
      <c r="O3">
        <v>0.2</v>
      </c>
      <c r="P3">
        <v>0.2</v>
      </c>
      <c r="Q3">
        <v>0.2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>
      <c r="A4" s="7">
        <v>2</v>
      </c>
      <c r="B4" s="31" t="str">
        <f>IF($D4=0,"",VLOOKUP($D4,'Project IO'!$B:$D,3,FALSE))</f>
        <v>Active</v>
      </c>
      <c r="C4" s="31" t="str">
        <f>IF($D4=0,"",VLOOKUP($D4,'Project IO'!$B:$E,4,FALSE))</f>
        <v>ETO</v>
      </c>
      <c r="D4" s="62" t="str">
        <f t="shared" si="2"/>
        <v>Gen3 EUV Zenith Plus 7SRC TSMC</v>
      </c>
      <c r="E4" s="62" t="str">
        <f>IF($H4=0,"",VLOOKUP($H4,정원!$D:$G,2,FALSE))</f>
        <v>NPI IS</v>
      </c>
      <c r="F4" s="62" t="str">
        <f>IF($H4=0,"",VLOOKUP($H4,정원!$D:$G,3,FALSE))</f>
        <v>System 2</v>
      </c>
      <c r="G4" s="62" t="str">
        <f>IF($H4=0,"",VLOOKUP($H4,정원!$D:$G,4,FALSE))</f>
        <v>Tech Lead</v>
      </c>
      <c r="H4" s="61" t="s">
        <v>194</v>
      </c>
      <c r="I4" s="74"/>
      <c r="J4" s="74"/>
      <c r="N4">
        <v>1</v>
      </c>
      <c r="O4">
        <v>1</v>
      </c>
      <c r="P4">
        <v>1</v>
      </c>
      <c r="Q4">
        <v>0.5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3">
      <c r="A5" s="7">
        <v>3</v>
      </c>
      <c r="B5" s="31" t="str">
        <f>IF($D5=0,"",VLOOKUP($D5,'Project IO'!$B:$D,3,FALSE))</f>
        <v>Active</v>
      </c>
      <c r="C5" s="31" t="str">
        <f>IF($D5=0,"",VLOOKUP($D5,'Project IO'!$B:$E,4,FALSE))</f>
        <v>ETO</v>
      </c>
      <c r="D5" s="62" t="str">
        <f t="shared" si="2"/>
        <v>Gen3 EUV Zenith Plus 7SRC TSMC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69</v>
      </c>
      <c r="I5" s="74"/>
      <c r="J5" s="74"/>
      <c r="N5">
        <v>0.1</v>
      </c>
      <c r="O5">
        <v>0.1</v>
      </c>
      <c r="P5">
        <v>0.1</v>
      </c>
      <c r="Q5" s="7">
        <v>0.1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3">
      <c r="A6" s="7">
        <v>5</v>
      </c>
      <c r="B6" s="31" t="str">
        <f>IF($D6=0,"",VLOOKUP($D6,'Project IO'!$B:$D,3,FALSE))</f>
        <v>Active</v>
      </c>
      <c r="C6" s="31" t="str">
        <f>IF($D6=0,"",VLOOKUP($D6,'Project IO'!$B:$E,4,FALSE))</f>
        <v>ETO</v>
      </c>
      <c r="D6" s="62" t="str">
        <f t="shared" si="2"/>
        <v>Gen3 EUV Zenith Plus 7SRC TSMC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System engineer</v>
      </c>
      <c r="H6" s="61" t="s">
        <v>192</v>
      </c>
      <c r="I6" s="74"/>
      <c r="J6" s="74"/>
      <c r="N6">
        <v>1</v>
      </c>
      <c r="O6">
        <v>0</v>
      </c>
      <c r="P6">
        <v>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3">
      <c r="A7" s="7">
        <v>6</v>
      </c>
      <c r="B7" s="31" t="str">
        <f>IF($D7=0,"",VLOOKUP($D7,'Project IO'!$B:$D,3,FALSE))</f>
        <v>Active</v>
      </c>
      <c r="C7" s="31" t="str">
        <f>IF($D7=0,"",VLOOKUP($D7,'Project IO'!$B:$E,4,FALSE))</f>
        <v>ETO</v>
      </c>
      <c r="D7" s="62" t="str">
        <f t="shared" si="2"/>
        <v>Gen3 EUV Zenith Plus 7SRC TSMC</v>
      </c>
      <c r="E7" s="62" t="str">
        <f>IF($H7=0,"",VLOOKUP($H7,정원!$D:$G,2,FALSE))</f>
        <v>NPI IS</v>
      </c>
      <c r="F7" s="62" t="str">
        <f>IF($H7=0,"",VLOOKUP($H7,정원!$D:$G,3,FALSE))</f>
        <v>System 2</v>
      </c>
      <c r="G7" s="62" t="str">
        <f>IF($H7=0,"",VLOOKUP($H7,정원!$D:$G,4,FALSE))</f>
        <v>Service engineer</v>
      </c>
      <c r="H7" s="61" t="s">
        <v>189</v>
      </c>
      <c r="I7" s="74"/>
      <c r="J7" s="74"/>
      <c r="N7">
        <v>0.7</v>
      </c>
      <c r="O7">
        <v>0</v>
      </c>
      <c r="P7">
        <v>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3">
      <c r="A8" s="7">
        <v>7</v>
      </c>
      <c r="B8" s="31" t="str">
        <f>IF($D8=0,"",VLOOKUP($D8,'Project IO'!$B:$D,3,FALSE))</f>
        <v>Active</v>
      </c>
      <c r="C8" s="31" t="str">
        <f>IF($D8=0,"",VLOOKUP($D8,'Project IO'!$B:$E,4,FALSE))</f>
        <v>ETO</v>
      </c>
      <c r="D8" s="62" t="str">
        <f t="shared" si="2"/>
        <v>Gen3 EUV Zenith Plus 7SRC TSMC</v>
      </c>
      <c r="E8" s="62" t="str">
        <f>IF($H8=0,"",VLOOKUP($H8,정원!$D:$G,2,FALSE))</f>
        <v>NPI IS</v>
      </c>
      <c r="F8" s="62" t="str">
        <f>IF($H8=0,"",VLOOKUP($H8,정원!$D:$G,3,FALSE))</f>
        <v>System 2</v>
      </c>
      <c r="G8" s="62" t="str">
        <f>IF($H8=0,"",VLOOKUP($H8,정원!$D:$G,4,FALSE))</f>
        <v>System engineer</v>
      </c>
      <c r="H8" s="61" t="s">
        <v>191</v>
      </c>
      <c r="I8" s="74"/>
      <c r="J8" s="74"/>
      <c r="O8">
        <v>0.5</v>
      </c>
      <c r="P8">
        <v>0.5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3">
      <c r="A9" s="7">
        <v>8</v>
      </c>
      <c r="B9" s="31" t="str">
        <f>IF($D9=0,"",VLOOKUP($D9,'Project IO'!$B:$D,3,FALSE))</f>
        <v>Active</v>
      </c>
      <c r="C9" s="31" t="str">
        <f>IF($D9=0,"",VLOOKUP($D9,'Project IO'!$B:$E,4,FALSE))</f>
        <v>ETO</v>
      </c>
      <c r="D9" s="62" t="str">
        <f t="shared" si="2"/>
        <v>Gen3 EUV Zenith Plus 7SRC TSMC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Leader</v>
      </c>
      <c r="H9" s="61" t="s">
        <v>73</v>
      </c>
      <c r="I9" s="74"/>
      <c r="J9" s="74"/>
      <c r="N9">
        <v>0.1</v>
      </c>
      <c r="O9">
        <v>0.1</v>
      </c>
      <c r="P9">
        <v>0.1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3">
      <c r="A10" s="7">
        <v>9</v>
      </c>
      <c r="B10" s="31" t="str">
        <f>IF($D10=0,"",VLOOKUP($D10,'Project IO'!$B:$D,3,FALSE))</f>
        <v>Active</v>
      </c>
      <c r="C10" s="31" t="str">
        <f>IF($D10=0,"",VLOOKUP($D10,'Project IO'!$B:$E,4,FALSE))</f>
        <v>ETO</v>
      </c>
      <c r="D10" s="62" t="str">
        <f t="shared" si="2"/>
        <v>Gen3 EUV Zenith Plus 7SRC TSMC</v>
      </c>
      <c r="E10" s="62" t="str">
        <f>IF($H10=0,"",VLOOKUP($H10,정원!$D:$G,2,FALSE))</f>
        <v>NPI IS</v>
      </c>
      <c r="F10" s="62" t="str">
        <f>IF($H10=0,"",VLOOKUP($H10,정원!$D:$G,3,FALSE))</f>
        <v>Mechanical</v>
      </c>
      <c r="G10" s="62" t="str">
        <f>IF($H10=0,"",VLOOKUP($H10,정원!$D:$G,4,FALSE))</f>
        <v>Mechanical engineer</v>
      </c>
      <c r="H10" s="61" t="s">
        <v>265</v>
      </c>
      <c r="I10" s="74"/>
      <c r="J10" s="74"/>
      <c r="N10">
        <v>0.5</v>
      </c>
      <c r="O10" s="103">
        <v>0.5</v>
      </c>
      <c r="P10" s="103">
        <v>0.5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3">
      <c r="A11" s="7">
        <v>10</v>
      </c>
      <c r="B11" s="31" t="str">
        <f>IF($D11=0,"",VLOOKUP($D11,'Project IO'!$B:$D,3,FALSE))</f>
        <v>Active</v>
      </c>
      <c r="C11" s="31" t="str">
        <f>IF($D11=0,"",VLOOKUP($D11,'Project IO'!$B:$E,4,FALSE))</f>
        <v>ETO</v>
      </c>
      <c r="D11" s="62" t="str">
        <f t="shared" si="2"/>
        <v>Gen3 EUV Zenith Plus 7SRC TSMC</v>
      </c>
      <c r="E11" s="62" t="str">
        <f>IF($H11=0,"",VLOOKUP($H11,정원!$D:$G,2,FALSE))</f>
        <v>NPI IS</v>
      </c>
      <c r="F11" s="62" t="str">
        <f>IF($H11=0,"",VLOOKUP($H11,정원!$D:$G,3,FALSE))</f>
        <v>Mechanical</v>
      </c>
      <c r="G11" s="62" t="str">
        <f>IF($H11=0,"",VLOOKUP($H11,정원!$D:$G,4,FALSE))</f>
        <v>Mechanical engineer</v>
      </c>
      <c r="H11" s="61" t="s">
        <v>264</v>
      </c>
      <c r="I11" s="74"/>
      <c r="J11" s="74"/>
      <c r="N11">
        <v>0.5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3">
      <c r="A12" s="7">
        <v>11</v>
      </c>
      <c r="B12" s="31" t="str">
        <f>IF($D12=0,"",VLOOKUP($D12,'Project IO'!$B:$D,3,FALSE))</f>
        <v>Active</v>
      </c>
      <c r="C12" s="31" t="str">
        <f>IF($D12=0,"",VLOOKUP($D12,'Project IO'!$B:$E,4,FALSE))</f>
        <v>ETO</v>
      </c>
      <c r="D12" s="62" t="str">
        <f t="shared" si="2"/>
        <v>Gen3 EUV Zenith Plus 7SRC TSMC</v>
      </c>
      <c r="E12" s="62" t="str">
        <f>IF($H12=0,"",VLOOKUP($H12,정원!$D:$G,2,FALSE))</f>
        <v>Control Eng.</v>
      </c>
      <c r="F12" s="62" t="str">
        <f>IF($H12=0,"",VLOOKUP($H12,정원!$D:$G,3,FALSE))</f>
        <v>* Manager</v>
      </c>
      <c r="G12" s="62" t="str">
        <f>IF($H12=0,"",VLOOKUP($H12,정원!$D:$G,4,FALSE))</f>
        <v>* Manager</v>
      </c>
      <c r="H12" s="61" t="s">
        <v>75</v>
      </c>
      <c r="I12" s="74"/>
      <c r="J12" s="7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3">
      <c r="A13" s="7">
        <v>12</v>
      </c>
      <c r="B13" s="31" t="str">
        <f>IF($D13=0,"",VLOOKUP($D13,'Project IO'!$B:$D,3,FALSE))</f>
        <v>Active</v>
      </c>
      <c r="C13" s="31" t="str">
        <f>IF($D13=0,"",VLOOKUP($D13,'Project IO'!$B:$E,4,FALSE))</f>
        <v>ETO</v>
      </c>
      <c r="D13" s="62" t="str">
        <f t="shared" si="2"/>
        <v>Gen3 EUV Zenith Plus 7SRC TSMC</v>
      </c>
      <c r="E13" s="62" t="str">
        <f>IF($H13=0,"",VLOOKUP($H13,정원!$D:$G,2,FALSE))</f>
        <v>Control Eng.</v>
      </c>
      <c r="F13" s="62" t="str">
        <f>IF($H13=0,"",VLOOKUP($H13,정원!$D:$G,3,FALSE))</f>
        <v>Software</v>
      </c>
      <c r="G13" s="62" t="str">
        <f>IF($H13=0,"",VLOOKUP($H13,정원!$D:$G,4,FALSE))</f>
        <v>Leader</v>
      </c>
      <c r="H13" s="61" t="s">
        <v>76</v>
      </c>
      <c r="I13" s="74"/>
      <c r="J13" s="7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3">
      <c r="A14" s="7">
        <v>13</v>
      </c>
      <c r="B14" s="31" t="str">
        <f>IF($D14=0,"",VLOOKUP($D14,'Project IO'!$B:$D,3,FALSE))</f>
        <v>Active</v>
      </c>
      <c r="C14" s="31" t="str">
        <f>IF($D14=0,"",VLOOKUP($D14,'Project IO'!$B:$E,4,FALSE))</f>
        <v>ETO</v>
      </c>
      <c r="D14" s="62" t="str">
        <f t="shared" si="2"/>
        <v>Gen3 EUV Zenith Plus 7SRC TSMC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Software engineer</v>
      </c>
      <c r="H14" s="61" t="s">
        <v>171</v>
      </c>
      <c r="I14" s="74"/>
      <c r="J14" s="74"/>
      <c r="N14" s="103">
        <v>0.5</v>
      </c>
      <c r="O14" s="103">
        <v>0.5</v>
      </c>
      <c r="P14" s="103">
        <v>0.5</v>
      </c>
      <c r="Q14" s="103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3">
      <c r="A15" s="7">
        <v>14</v>
      </c>
      <c r="B15" s="31" t="str">
        <f>IF($D15=0,"",VLOOKUP($D15,'Project IO'!$B:$D,3,FALSE))</f>
        <v>Active</v>
      </c>
      <c r="C15" s="31" t="str">
        <f>IF($D15=0,"",VLOOKUP($D15,'Project IO'!$B:$E,4,FALSE))</f>
        <v>ETO</v>
      </c>
      <c r="D15" s="62" t="str">
        <f t="shared" si="2"/>
        <v>Gen3 EUV Zenith Plus 7SRC TSMC</v>
      </c>
      <c r="E15" s="62" t="str">
        <f>IF($H15=0,"",VLOOKUP($H15,정원!$D:$G,2,FALSE))</f>
        <v>Control Eng.</v>
      </c>
      <c r="F15" s="62" t="str">
        <f>IF($H15=0,"",VLOOKUP($H15,정원!$D:$G,3,FALSE))</f>
        <v>Software</v>
      </c>
      <c r="G15" s="62" t="str">
        <f>IF($H15=0,"",VLOOKUP($H15,정원!$D:$G,4,FALSE))</f>
        <v>SW test engineer</v>
      </c>
      <c r="H15" s="61" t="s">
        <v>178</v>
      </c>
      <c r="I15" s="74"/>
      <c r="J15" s="74"/>
      <c r="N15" s="103">
        <v>0.5</v>
      </c>
      <c r="O15" s="103">
        <v>0.5</v>
      </c>
      <c r="P15" s="103">
        <v>0.5</v>
      </c>
      <c r="Q15" s="103">
        <v>0.5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>
      <c r="A16" s="7">
        <v>15</v>
      </c>
      <c r="B16" s="31" t="str">
        <f>IF($D16=0,"",VLOOKUP($D16,'Project IO'!$B:$D,3,FALSE))</f>
        <v>Active</v>
      </c>
      <c r="C16" s="31" t="str">
        <f>IF($D16=0,"",VLOOKUP($D16,'Project IO'!$B:$E,4,FALSE))</f>
        <v>ETO</v>
      </c>
      <c r="D16" s="62" t="str">
        <f t="shared" si="2"/>
        <v>Gen3 EUV Zenith Plus 7SRC TSMC</v>
      </c>
      <c r="E16" s="62" t="str">
        <f>IF($H16=0,"",VLOOKUP($H16,정원!$D:$G,2,FALSE))</f>
        <v>Control Eng.</v>
      </c>
      <c r="F16" s="62" t="str">
        <f>IF($H16=0,"",VLOOKUP($H16,정원!$D:$G,3,FALSE))</f>
        <v>Electrical</v>
      </c>
      <c r="G16" s="62" t="str">
        <f>IF($H16=0,"",VLOOKUP($H16,정원!$D:$G,4,FALSE))</f>
        <v>Leader</v>
      </c>
      <c r="H16" s="61" t="s">
        <v>79</v>
      </c>
      <c r="I16" s="74"/>
      <c r="J16" s="74"/>
      <c r="N16">
        <v>0.3</v>
      </c>
      <c r="O16">
        <v>0.3</v>
      </c>
      <c r="P16">
        <v>0.3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>
      <c r="A17" s="7">
        <v>16</v>
      </c>
      <c r="B17" s="31" t="str">
        <f>IF($D17=0,"",VLOOKUP($D17,'Project IO'!$B:$D,3,FALSE))</f>
        <v>Active</v>
      </c>
      <c r="C17" s="31" t="str">
        <f>IF($D17=0,"",VLOOKUP($D17,'Project IO'!$B:$E,4,FALSE))</f>
        <v>ETO</v>
      </c>
      <c r="D17" s="62" t="str">
        <f t="shared" si="2"/>
        <v>Gen3 EUV Zenith Plus 7SRC TSMC</v>
      </c>
      <c r="E17" s="62" t="str">
        <f>IF($H17=0,"",VLOOKUP($H17,정원!$D:$G,2,FALSE))</f>
        <v>Control Eng.</v>
      </c>
      <c r="F17" s="62" t="str">
        <f>IF($H17=0,"",VLOOKUP($H17,정원!$D:$G,3,FALSE))</f>
        <v>Electrical</v>
      </c>
      <c r="G17" s="62" t="str">
        <f>IF($H17=0,"",VLOOKUP($H17,정원!$D:$G,4,FALSE))</f>
        <v>Electrical engineer</v>
      </c>
      <c r="H17" s="61" t="s">
        <v>274</v>
      </c>
      <c r="I17" s="74"/>
      <c r="J17" s="74"/>
      <c r="N17">
        <v>1</v>
      </c>
      <c r="O17" s="103">
        <v>0.5</v>
      </c>
      <c r="P17" s="103">
        <v>0.5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>
      <c r="A18" s="7">
        <v>17</v>
      </c>
      <c r="B18" s="31" t="str">
        <f>IF($D18=0,"",VLOOKUP($D18,'Project IO'!$B:$D,3,FALSE))</f>
        <v>Active</v>
      </c>
      <c r="C18" s="31" t="str">
        <f>IF($D18=0,"",VLOOKUP($D18,'Project IO'!$B:$E,4,FALSE))</f>
        <v>ETO</v>
      </c>
      <c r="D18" s="62" t="str">
        <f t="shared" si="2"/>
        <v>Gen3 EUV Zenith Plus 7SRC TSMC</v>
      </c>
      <c r="E18" s="62" t="str">
        <f>IF($H18=0,"",VLOOKUP($H18,정원!$D:$G,2,FALSE))</f>
        <v>NPI IS</v>
      </c>
      <c r="F18" s="62" t="str">
        <f>IF($H18=0,"",VLOOKUP($H18,정원!$D:$G,3,FALSE))</f>
        <v>System 3</v>
      </c>
      <c r="G18" s="62" t="str">
        <f>IF($H18=0,"",VLOOKUP($H18,정원!$D:$G,4,FALSE))</f>
        <v>System engineer</v>
      </c>
      <c r="H18" s="61" t="s">
        <v>200</v>
      </c>
      <c r="I18" s="74"/>
      <c r="J18" s="74"/>
      <c r="O18">
        <v>1</v>
      </c>
      <c r="P18">
        <v>1</v>
      </c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>
      <c r="A19" s="7">
        <v>18</v>
      </c>
      <c r="B19" s="31" t="str">
        <f>IF($D19=0,"",VLOOKUP($D19,'Project IO'!$B:$D,3,FALSE))</f>
        <v>Active</v>
      </c>
      <c r="C19" s="31" t="str">
        <f>IF($D19=0,"",VLOOKUP($D19,'Project IO'!$B:$E,4,FALSE))</f>
        <v>ETO</v>
      </c>
      <c r="D19" s="62" t="str">
        <f t="shared" si="2"/>
        <v>Gen3 EUV Zenith Plus 7SRC TSMC</v>
      </c>
      <c r="E19" s="62">
        <f>IF($H19=0,"",VLOOKUP($H19,정원!$D:$G,2,FALSE))</f>
        <v>0</v>
      </c>
      <c r="F19" s="62">
        <f>IF($H19=0,"",VLOOKUP($H19,정원!$D:$G,3,FALSE))</f>
        <v>0</v>
      </c>
      <c r="G19" s="62">
        <f>IF($H19=0,"",VLOOKUP($H19,정원!$D:$G,4,FALSE))</f>
        <v>0</v>
      </c>
      <c r="H19" s="19" t="s">
        <v>81</v>
      </c>
      <c r="I19" s="74"/>
      <c r="J19" s="74"/>
      <c r="M19" t="s">
        <v>82</v>
      </c>
      <c r="Q19" t="s">
        <v>64</v>
      </c>
    </row>
    <row r="22" spans="1:50">
      <c r="N22" s="98"/>
      <c r="O22" s="98"/>
      <c r="P22" s="98"/>
      <c r="Q22" s="98"/>
      <c r="R22" s="98"/>
      <c r="S22" s="98"/>
    </row>
    <row r="25" spans="1:50">
      <c r="T25" s="99"/>
      <c r="U25" s="100"/>
    </row>
    <row r="1048535" spans="2:7">
      <c r="B1048535" s="7"/>
      <c r="C1048535" s="7"/>
      <c r="D1048535" s="7"/>
      <c r="E1048535" s="7"/>
      <c r="F1048535" s="7"/>
      <c r="G1048535" s="7"/>
    </row>
    <row r="1048536" spans="2:7">
      <c r="B1048536" s="7"/>
      <c r="C1048536" s="7"/>
      <c r="D1048536" s="7"/>
      <c r="E1048536" s="7"/>
      <c r="F1048536" s="7"/>
      <c r="G1048536" s="7"/>
    </row>
    <row r="1048537" spans="2:7">
      <c r="B1048537" s="7"/>
      <c r="C1048537" s="7"/>
      <c r="D1048537" s="7"/>
      <c r="E1048537" s="7"/>
      <c r="F1048537" s="7"/>
      <c r="G1048537" s="7"/>
    </row>
    <row r="1048538" spans="2:7">
      <c r="B1048538" s="7"/>
      <c r="C1048538" s="7"/>
      <c r="D1048538" s="7"/>
      <c r="E1048538" s="7"/>
      <c r="F1048538" s="7"/>
      <c r="G1048538" s="7"/>
    </row>
    <row r="1048539" spans="2:7">
      <c r="B1048539" s="7"/>
      <c r="C1048539" s="7"/>
      <c r="D1048539" s="7"/>
      <c r="E1048539" s="7"/>
      <c r="F1048539" s="7"/>
      <c r="G1048539" s="7"/>
    </row>
    <row r="1048540" spans="2:7">
      <c r="B1048540" s="7"/>
      <c r="C1048540" s="7"/>
      <c r="D1048540" s="7"/>
      <c r="E1048540" s="7"/>
      <c r="F1048540" s="7"/>
      <c r="G1048540" s="7"/>
    </row>
    <row r="1048541" spans="2:7">
      <c r="B1048541" s="7"/>
      <c r="C1048541" s="7"/>
      <c r="D1048541" s="7"/>
      <c r="E1048541" s="7"/>
      <c r="F1048541" s="7"/>
      <c r="G1048541" s="7"/>
    </row>
    <row r="1048542" spans="2:7">
      <c r="B1048542" s="7"/>
      <c r="C1048542" s="7"/>
      <c r="D1048542" s="7"/>
      <c r="E1048542" s="7"/>
      <c r="F1048542" s="7"/>
      <c r="G1048542" s="7"/>
    </row>
    <row r="1048543" spans="2:7">
      <c r="B1048543" s="7"/>
      <c r="C1048543" s="7"/>
      <c r="D1048543" s="7"/>
      <c r="E1048543" s="7"/>
      <c r="F1048543" s="7"/>
      <c r="G1048543" s="7"/>
    </row>
    <row r="1048544" spans="2:7">
      <c r="B1048544" s="7"/>
      <c r="C1048544" s="7"/>
      <c r="D1048544" s="7"/>
      <c r="E1048544" s="7"/>
      <c r="F1048544" s="7"/>
      <c r="G1048544" s="7"/>
    </row>
    <row r="1048545" spans="2:7">
      <c r="B1048545" s="7"/>
      <c r="C1048545" s="7"/>
      <c r="D1048545" s="7"/>
      <c r="E1048545" s="7"/>
      <c r="F1048545" s="7"/>
      <c r="G1048545" s="7"/>
    </row>
    <row r="1048546" spans="2:7">
      <c r="B1048546" s="7"/>
      <c r="C1048546" s="7"/>
      <c r="D1048546" s="7"/>
      <c r="E1048546" s="7"/>
      <c r="F1048546" s="7"/>
      <c r="G1048546" s="7"/>
    </row>
    <row r="1048547" spans="2:7">
      <c r="B1048547" s="7"/>
      <c r="C1048547" s="7"/>
      <c r="D1048547" s="7"/>
      <c r="E1048547" s="7"/>
      <c r="F1048547" s="7"/>
      <c r="G1048547" s="7"/>
    </row>
    <row r="1048548" spans="2:7">
      <c r="B1048548" s="7"/>
      <c r="C1048548" s="7"/>
      <c r="D1048548" s="7"/>
      <c r="E1048548" s="7"/>
      <c r="F1048548" s="7"/>
      <c r="G1048548" s="7"/>
    </row>
    <row r="1048549" spans="2:7">
      <c r="B1048549" s="7"/>
      <c r="C1048549" s="7"/>
      <c r="D1048549" s="7"/>
      <c r="E1048549" s="7"/>
      <c r="F1048549" s="7"/>
      <c r="G1048549" s="7"/>
    </row>
    <row r="1048550" spans="2:7">
      <c r="B1048550" s="7"/>
      <c r="C1048550" s="7"/>
      <c r="D1048550" s="7"/>
      <c r="E1048550" s="7"/>
      <c r="F1048550" s="7"/>
      <c r="G1048550" s="7"/>
    </row>
    <row r="1048551" spans="2:7">
      <c r="B1048551" s="7"/>
      <c r="C1048551" s="7"/>
      <c r="D1048551" s="7"/>
      <c r="E1048551" s="7"/>
      <c r="F1048551" s="7"/>
      <c r="G1048551" s="7"/>
    </row>
  </sheetData>
  <phoneticPr fontId="1" type="noConversion"/>
  <dataValidations count="2">
    <dataValidation type="list" allowBlank="1" showInputMessage="1" showErrorMessage="1" sqref="G20:G1048576" xr:uid="{B6A0763B-B4F4-4542-B4D4-216596731C6E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F20:F1048576" xr:uid="{E56B2DE1-37A1-4CC0-8FCB-3CAE692F0C4F}">
      <formula1>"Engineering, PMO, System engineering, Control Engineering"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CC131E-6158-441B-90CA-F8982143AFC7}">
          <x14:formula1>
            <xm:f>'Project IO'!$B$4:$B$101</xm:f>
          </x14:formula1>
          <xm:sqref>A1</xm:sqref>
        </x14:dataValidation>
        <x14:dataValidation type="list" allowBlank="1" showInputMessage="1" showErrorMessage="1" xr:uid="{E14C7018-A3D5-4CA1-9721-F37DCB52F150}">
          <x14:formula1>
            <xm:f>정원!$D:$D</xm:f>
          </x14:formula1>
          <xm:sqref>H3:H18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7CDA-5674-41D2-AFEF-BC9A4E43FA57}">
  <sheetPr>
    <tabColor theme="6" tint="0.79998168889431442"/>
  </sheetPr>
  <dimension ref="A1:BB23"/>
  <sheetViews>
    <sheetView topLeftCell="E1" workbookViewId="0">
      <pane ySplit="2" topLeftCell="A3" activePane="bottomLeft" state="frozen"/>
      <selection pane="bottomLeft" activeCell="J25" sqref="J25"/>
      <selection activeCell="C6" sqref="C6"/>
    </sheetView>
  </sheetViews>
  <sheetFormatPr defaultColWidth="9" defaultRowHeight="16.5" outlineLevelCol="1"/>
  <cols>
    <col min="1" max="1" width="4.125" style="51" customWidth="1"/>
    <col min="2" max="2" width="8.5" style="51" bestFit="1" customWidth="1"/>
    <col min="3" max="4" width="14.625" style="51" customWidth="1"/>
    <col min="5" max="7" width="20.125" style="51" bestFit="1" customWidth="1"/>
    <col min="8" max="8" width="15" style="51" bestFit="1" customWidth="1"/>
    <col min="9" max="10" width="9" style="51"/>
    <col min="11" max="13" width="11.125" style="51" customWidth="1" outlineLevel="1"/>
    <col min="14" max="17" width="11.125" style="51" customWidth="1"/>
    <col min="18" max="18" width="10.625" style="51" bestFit="1" customWidth="1"/>
    <col min="19" max="19" width="11" style="51" bestFit="1" customWidth="1"/>
    <col min="20" max="20" width="11.125" style="51" bestFit="1" customWidth="1"/>
    <col min="21" max="21" width="11" style="51" bestFit="1" customWidth="1"/>
    <col min="22" max="22" width="11.625" style="51" bestFit="1" customWidth="1"/>
    <col min="23" max="23" width="10.625" style="51" bestFit="1" customWidth="1"/>
    <col min="24" max="53" width="10.125" style="51" customWidth="1"/>
    <col min="54" max="16384" width="9" style="51"/>
  </cols>
  <sheetData>
    <row r="1" spans="1:54" ht="27" customHeight="1">
      <c r="A1" s="48" t="s">
        <v>304</v>
      </c>
      <c r="B1" s="49">
        <f>IF($A$1=0,"",VLOOKUP(A1,'Project IO'!$B$4:$C$101,2,FALSE))</f>
        <v>406399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Q1" si="0">SUM(K3:K1048576)</f>
        <v>11.5</v>
      </c>
      <c r="L1" s="51">
        <f t="shared" si="0"/>
        <v>9.6999999999999975</v>
      </c>
      <c r="M1" s="51">
        <f t="shared" si="0"/>
        <v>8.1999999999999993</v>
      </c>
      <c r="N1" s="51">
        <f t="shared" si="0"/>
        <v>5.9</v>
      </c>
      <c r="O1" s="51">
        <f t="shared" si="0"/>
        <v>4.4000000000000004</v>
      </c>
      <c r="P1" s="51">
        <f t="shared" si="0"/>
        <v>5.2999999999999989</v>
      </c>
      <c r="Q1" s="51">
        <f t="shared" si="0"/>
        <v>4.8000000000000007</v>
      </c>
      <c r="R1" s="51">
        <f>SUM(R3:R1048576)</f>
        <v>1.5</v>
      </c>
      <c r="S1" s="51">
        <f>SUM(S3:S1048576)</f>
        <v>0.6</v>
      </c>
      <c r="T1" s="51">
        <f t="shared" ref="T1:BA1" si="1">SUM(T3:T1048576)</f>
        <v>0.6</v>
      </c>
      <c r="U1" s="51">
        <f t="shared" si="1"/>
        <v>0</v>
      </c>
      <c r="V1" s="51">
        <f t="shared" si="1"/>
        <v>0</v>
      </c>
      <c r="W1" s="51">
        <f t="shared" si="1"/>
        <v>0</v>
      </c>
      <c r="X1" s="51">
        <f t="shared" si="1"/>
        <v>0</v>
      </c>
      <c r="Y1" s="51">
        <f t="shared" si="1"/>
        <v>0</v>
      </c>
      <c r="Z1" s="51">
        <f t="shared" si="1"/>
        <v>0</v>
      </c>
      <c r="AA1" s="51">
        <f t="shared" si="1"/>
        <v>0</v>
      </c>
      <c r="AB1" s="51">
        <f t="shared" si="1"/>
        <v>0</v>
      </c>
      <c r="AC1" s="51">
        <f t="shared" si="1"/>
        <v>0</v>
      </c>
      <c r="AD1" s="51">
        <f t="shared" si="1"/>
        <v>0</v>
      </c>
      <c r="AE1" s="51">
        <f t="shared" si="1"/>
        <v>0</v>
      </c>
      <c r="AF1" s="51">
        <f t="shared" si="1"/>
        <v>0</v>
      </c>
      <c r="AG1" s="51">
        <f t="shared" si="1"/>
        <v>0</v>
      </c>
      <c r="AH1" s="51">
        <f t="shared" si="1"/>
        <v>0</v>
      </c>
      <c r="AI1" s="51">
        <f t="shared" si="1"/>
        <v>0</v>
      </c>
      <c r="AJ1" s="51">
        <f t="shared" si="1"/>
        <v>0</v>
      </c>
      <c r="AK1" s="51">
        <f t="shared" si="1"/>
        <v>0</v>
      </c>
      <c r="AL1" s="51">
        <f t="shared" si="1"/>
        <v>0</v>
      </c>
      <c r="AM1" s="51">
        <f t="shared" si="1"/>
        <v>0</v>
      </c>
      <c r="AN1" s="51">
        <f t="shared" si="1"/>
        <v>0</v>
      </c>
      <c r="AO1" s="51">
        <f t="shared" si="1"/>
        <v>0</v>
      </c>
      <c r="AP1" s="51">
        <f t="shared" si="1"/>
        <v>0</v>
      </c>
      <c r="AQ1" s="51">
        <f t="shared" si="1"/>
        <v>0</v>
      </c>
      <c r="AR1" s="51">
        <f t="shared" si="1"/>
        <v>0</v>
      </c>
      <c r="AS1" s="51">
        <f t="shared" si="1"/>
        <v>0</v>
      </c>
      <c r="AT1" s="51">
        <f t="shared" si="1"/>
        <v>0</v>
      </c>
      <c r="AU1" s="51">
        <f t="shared" si="1"/>
        <v>0</v>
      </c>
      <c r="AV1" s="51">
        <f t="shared" si="1"/>
        <v>0</v>
      </c>
      <c r="AW1" s="51">
        <f t="shared" si="1"/>
        <v>0</v>
      </c>
      <c r="AX1" s="51">
        <f t="shared" si="1"/>
        <v>0</v>
      </c>
      <c r="AY1" s="51">
        <f t="shared" si="1"/>
        <v>0</v>
      </c>
      <c r="AZ1" s="51">
        <f t="shared" si="1"/>
        <v>0</v>
      </c>
      <c r="BA1" s="51">
        <f t="shared" si="1"/>
        <v>0</v>
      </c>
    </row>
    <row r="2" spans="1:54" s="60" customFormat="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64</v>
      </c>
      <c r="J2" s="58" t="s">
        <v>65</v>
      </c>
      <c r="K2" s="80">
        <v>45833</v>
      </c>
      <c r="L2" s="80">
        <v>45863</v>
      </c>
      <c r="M2" s="80">
        <v>45894</v>
      </c>
      <c r="N2" s="80">
        <v>45925</v>
      </c>
      <c r="O2" s="80">
        <v>45955</v>
      </c>
      <c r="P2" s="80">
        <v>45986</v>
      </c>
      <c r="Q2" s="80">
        <v>46016</v>
      </c>
      <c r="R2" s="80">
        <v>45683</v>
      </c>
      <c r="S2" s="80">
        <v>45714</v>
      </c>
      <c r="T2" s="80">
        <v>45742</v>
      </c>
      <c r="U2" s="80">
        <v>45773</v>
      </c>
      <c r="V2" s="80">
        <v>45803</v>
      </c>
      <c r="W2" s="80">
        <v>45834</v>
      </c>
      <c r="X2" s="80">
        <v>45864</v>
      </c>
      <c r="Y2" s="80">
        <v>45895</v>
      </c>
      <c r="Z2" s="80">
        <v>45926</v>
      </c>
      <c r="AA2" s="80">
        <v>45956</v>
      </c>
      <c r="AB2" s="80">
        <v>45987</v>
      </c>
      <c r="AC2" s="80">
        <v>46017</v>
      </c>
      <c r="AD2" s="80">
        <v>45684</v>
      </c>
      <c r="AE2" s="80">
        <v>45715</v>
      </c>
      <c r="AF2" s="80">
        <v>45743</v>
      </c>
      <c r="AG2" s="80">
        <v>45774</v>
      </c>
      <c r="AH2" s="80">
        <v>45804</v>
      </c>
      <c r="AI2" s="80">
        <v>45835</v>
      </c>
      <c r="AJ2" s="80">
        <v>45865</v>
      </c>
      <c r="AK2" s="80">
        <v>45896</v>
      </c>
      <c r="AL2" s="80">
        <v>45927</v>
      </c>
      <c r="AM2" s="80">
        <v>45957</v>
      </c>
      <c r="AN2" s="80">
        <v>45988</v>
      </c>
      <c r="AO2" s="80">
        <v>46018</v>
      </c>
      <c r="AP2" s="80">
        <v>45685</v>
      </c>
      <c r="AQ2" s="80">
        <v>45716</v>
      </c>
      <c r="AR2" s="80">
        <v>45744</v>
      </c>
      <c r="AS2" s="80">
        <v>45775</v>
      </c>
      <c r="AT2" s="80">
        <v>45805</v>
      </c>
      <c r="AU2" s="80">
        <v>45836</v>
      </c>
      <c r="AV2" s="80">
        <v>45866</v>
      </c>
      <c r="AW2" s="80">
        <v>45897</v>
      </c>
      <c r="AX2" s="80">
        <v>45928</v>
      </c>
      <c r="AY2" s="80">
        <v>45958</v>
      </c>
      <c r="AZ2" s="80">
        <v>45989</v>
      </c>
      <c r="BA2" s="80">
        <v>46019</v>
      </c>
      <c r="BB2" s="81"/>
    </row>
    <row r="3" spans="1:54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>$A$1</f>
        <v>Havasu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1" t="s">
        <v>292</v>
      </c>
      <c r="I3" s="73">
        <v>45833</v>
      </c>
      <c r="J3" s="73">
        <f>I3+180</f>
        <v>46013</v>
      </c>
      <c r="K3" s="64">
        <v>0.2</v>
      </c>
      <c r="L3" s="64">
        <v>0.1</v>
      </c>
      <c r="M3" s="64">
        <v>0.1</v>
      </c>
      <c r="N3" s="64">
        <v>0.1</v>
      </c>
      <c r="O3" s="64">
        <v>0.1</v>
      </c>
      <c r="P3" s="64">
        <v>0.1</v>
      </c>
      <c r="Q3" s="64">
        <v>0.1</v>
      </c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4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ref="D4:D20" si="2">$A$1</f>
        <v>Havasu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1" t="s">
        <v>67</v>
      </c>
      <c r="I4" s="73">
        <v>45833</v>
      </c>
      <c r="J4" s="73">
        <f t="shared" ref="J4:J20" si="3">I4+180</f>
        <v>46013</v>
      </c>
      <c r="K4" s="64">
        <v>0.3</v>
      </c>
      <c r="L4" s="64">
        <v>0.1</v>
      </c>
      <c r="M4" s="64">
        <v>0.1</v>
      </c>
      <c r="N4" s="64">
        <v>0.1</v>
      </c>
      <c r="O4" s="64">
        <v>0.1</v>
      </c>
      <c r="P4" s="64">
        <v>0.1</v>
      </c>
      <c r="Q4" s="64">
        <v>0.1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4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2"/>
        <v>Havasu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1" t="s">
        <v>244</v>
      </c>
      <c r="I5" s="73">
        <v>45833</v>
      </c>
      <c r="J5" s="73">
        <f t="shared" si="3"/>
        <v>46013</v>
      </c>
      <c r="K5" s="64">
        <v>1</v>
      </c>
      <c r="L5" s="64">
        <v>1</v>
      </c>
      <c r="M5" s="64">
        <v>0.5</v>
      </c>
      <c r="N5" s="64">
        <v>0.2</v>
      </c>
      <c r="O5" s="64">
        <v>0.2</v>
      </c>
      <c r="P5" s="64">
        <v>0.2</v>
      </c>
      <c r="Q5" s="64">
        <v>0.1</v>
      </c>
      <c r="R5" s="61">
        <v>0.2</v>
      </c>
      <c r="S5" s="61">
        <v>0.1</v>
      </c>
      <c r="T5" s="61">
        <v>0.1</v>
      </c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4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2"/>
        <v>Havasu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1" t="s">
        <v>69</v>
      </c>
      <c r="I6" s="73">
        <v>45833</v>
      </c>
      <c r="J6" s="73">
        <f t="shared" si="3"/>
        <v>46013</v>
      </c>
      <c r="K6" s="64">
        <v>0.3</v>
      </c>
      <c r="L6" s="64">
        <v>0.1</v>
      </c>
      <c r="M6" s="64">
        <v>0.1</v>
      </c>
      <c r="N6" s="64">
        <v>0.1</v>
      </c>
      <c r="O6" s="64">
        <v>0.1</v>
      </c>
      <c r="P6" s="64">
        <v>0.1</v>
      </c>
      <c r="Q6" s="64">
        <v>0.1</v>
      </c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4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2"/>
        <v>Havasu</v>
      </c>
      <c r="E7" s="62" t="str">
        <f>IF($H7=0,"",VLOOKUP($H7,정원!$D:$G,2,FALSE))</f>
        <v>NPI IS</v>
      </c>
      <c r="F7" s="62" t="str">
        <f>IF($H7=0,"",VLOOKUP($H7,정원!$D:$G,3,FALSE))</f>
        <v>System 1</v>
      </c>
      <c r="G7" s="62" t="str">
        <f>IF($H7=0,"",VLOOKUP($H7,정원!$D:$G,4,FALSE))</f>
        <v>Tech Lead</v>
      </c>
      <c r="H7" s="61" t="s">
        <v>187</v>
      </c>
      <c r="I7" s="73">
        <v>45833</v>
      </c>
      <c r="J7" s="73">
        <f t="shared" si="3"/>
        <v>46013</v>
      </c>
      <c r="K7" s="64">
        <v>1</v>
      </c>
      <c r="L7" s="64">
        <v>1</v>
      </c>
      <c r="M7" s="64">
        <v>1</v>
      </c>
      <c r="N7" s="64">
        <v>0.5</v>
      </c>
      <c r="O7" s="64">
        <v>0.5</v>
      </c>
      <c r="P7" s="64">
        <v>0.7</v>
      </c>
      <c r="Q7" s="64">
        <v>1</v>
      </c>
      <c r="R7" s="61">
        <v>0.5</v>
      </c>
      <c r="S7" s="61">
        <v>0.2</v>
      </c>
      <c r="T7" s="61">
        <v>0.2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4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2"/>
        <v>Havasu</v>
      </c>
      <c r="E8" s="62" t="str">
        <f>IF($H8=0,"",VLOOKUP($H8,정원!$D:$G,2,FALSE))</f>
        <v>NPI IS</v>
      </c>
      <c r="F8" s="62" t="str">
        <f>IF($H8=0,"",VLOOKUP($H8,정원!$D:$G,3,FALSE))</f>
        <v>System 1</v>
      </c>
      <c r="G8" s="62" t="str">
        <f>IF($H8=0,"",VLOOKUP($H8,정원!$D:$G,4,FALSE))</f>
        <v>System engineer</v>
      </c>
      <c r="H8" s="65" t="s">
        <v>185</v>
      </c>
      <c r="I8" s="73">
        <v>45833</v>
      </c>
      <c r="J8" s="73">
        <f t="shared" si="3"/>
        <v>46013</v>
      </c>
      <c r="K8" s="64">
        <v>1</v>
      </c>
      <c r="L8" s="64">
        <v>1</v>
      </c>
      <c r="M8" s="64">
        <v>0.5</v>
      </c>
      <c r="N8" s="64">
        <v>0.5</v>
      </c>
      <c r="O8" s="64"/>
      <c r="P8" s="64"/>
      <c r="Q8" s="64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4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2"/>
        <v>Havasu</v>
      </c>
      <c r="E9" s="62" t="str">
        <f>IF($H9=0,"",VLOOKUP($H9,정원!$D:$G,2,FALSE))</f>
        <v>NPI IS</v>
      </c>
      <c r="F9" s="62" t="str">
        <f>IF($H9=0,"",VLOOKUP($H9,정원!$D:$G,3,FALSE))</f>
        <v>System 1</v>
      </c>
      <c r="G9" s="62" t="str">
        <f>IF($H9=0,"",VLOOKUP($H9,정원!$D:$G,4,FALSE))</f>
        <v>System engineer</v>
      </c>
      <c r="H9" s="65" t="s">
        <v>183</v>
      </c>
      <c r="I9" s="73">
        <v>45833</v>
      </c>
      <c r="J9" s="73">
        <f t="shared" si="3"/>
        <v>46013</v>
      </c>
      <c r="K9" s="64">
        <v>1</v>
      </c>
      <c r="L9" s="64">
        <v>1</v>
      </c>
      <c r="M9" s="64">
        <v>1</v>
      </c>
      <c r="N9" s="64"/>
      <c r="O9" s="64"/>
      <c r="P9" s="64"/>
      <c r="Q9" s="64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4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2"/>
        <v>Havasu</v>
      </c>
      <c r="E10" s="62" t="str">
        <f>IF($H10=0,"",VLOOKUP($H10,정원!$D:$G,2,FALSE))</f>
        <v>NPI IS</v>
      </c>
      <c r="F10" s="62" t="str">
        <f>IF($H10=0,"",VLOOKUP($H10,정원!$D:$G,3,FALSE))</f>
        <v>System 1</v>
      </c>
      <c r="G10" s="62" t="str">
        <f>IF($H10=0,"",VLOOKUP($H10,정원!$D:$G,4,FALSE))</f>
        <v>System engineer</v>
      </c>
      <c r="H10" s="65" t="s">
        <v>184</v>
      </c>
      <c r="I10" s="73">
        <v>45833</v>
      </c>
      <c r="J10" s="73">
        <f t="shared" si="3"/>
        <v>46013</v>
      </c>
      <c r="K10" s="64">
        <v>1</v>
      </c>
      <c r="L10" s="64">
        <v>1</v>
      </c>
      <c r="M10" s="64">
        <v>0.5</v>
      </c>
      <c r="N10" s="64">
        <v>0.5</v>
      </c>
      <c r="O10" s="64">
        <v>0.5</v>
      </c>
      <c r="P10" s="64">
        <v>1</v>
      </c>
      <c r="Q10" s="64">
        <v>1</v>
      </c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4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2"/>
        <v>Havasu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Service engineer</v>
      </c>
      <c r="H11" s="61" t="s">
        <v>182</v>
      </c>
      <c r="I11" s="73">
        <v>45833</v>
      </c>
      <c r="J11" s="73">
        <f t="shared" si="3"/>
        <v>46013</v>
      </c>
      <c r="K11" s="64">
        <v>1</v>
      </c>
      <c r="L11" s="64">
        <v>1</v>
      </c>
      <c r="M11" s="64">
        <v>1</v>
      </c>
      <c r="N11" s="64">
        <v>0.5</v>
      </c>
      <c r="O11" s="64">
        <v>0.5</v>
      </c>
      <c r="P11" s="64">
        <v>0.7</v>
      </c>
      <c r="Q11" s="64">
        <v>1</v>
      </c>
      <c r="R11" s="61">
        <v>0.5</v>
      </c>
      <c r="S11" s="61">
        <v>0.2</v>
      </c>
      <c r="T11" s="61">
        <v>0.2</v>
      </c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4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2"/>
        <v>Havasu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Leader</v>
      </c>
      <c r="H12" s="61" t="s">
        <v>73</v>
      </c>
      <c r="I12" s="73">
        <v>45833</v>
      </c>
      <c r="J12" s="73">
        <f t="shared" si="3"/>
        <v>46013</v>
      </c>
      <c r="K12" s="64">
        <v>0.3</v>
      </c>
      <c r="L12" s="64">
        <v>0.1</v>
      </c>
      <c r="M12" s="64">
        <v>0.1</v>
      </c>
      <c r="N12" s="64">
        <v>0.1</v>
      </c>
      <c r="O12" s="64">
        <v>0.1</v>
      </c>
      <c r="P12" s="64">
        <v>0.1</v>
      </c>
      <c r="Q12" s="64">
        <v>0.1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4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2"/>
        <v>Havasu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1" t="s">
        <v>263</v>
      </c>
      <c r="I13" s="73">
        <v>45833</v>
      </c>
      <c r="J13" s="73">
        <f t="shared" si="3"/>
        <v>46013</v>
      </c>
      <c r="K13" s="64">
        <v>1</v>
      </c>
      <c r="L13" s="64">
        <v>1</v>
      </c>
      <c r="M13" s="64">
        <v>1</v>
      </c>
      <c r="N13" s="64">
        <v>1</v>
      </c>
      <c r="O13" s="64">
        <v>1</v>
      </c>
      <c r="P13" s="64">
        <v>1</v>
      </c>
      <c r="Q13" s="64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4">
      <c r="A14" s="61">
        <v>13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2"/>
        <v>Havasu</v>
      </c>
      <c r="E14" s="62" t="str">
        <f>IF($H14=0,"",VLOOKUP($H14,정원!$D:$G,2,FALSE))</f>
        <v>Control Eng.</v>
      </c>
      <c r="F14" s="62" t="str">
        <f>IF($H14=0,"",VLOOKUP($H14,정원!$D:$G,3,FALSE))</f>
        <v>* Manager</v>
      </c>
      <c r="G14" s="62" t="str">
        <f>IF($H14=0,"",VLOOKUP($H14,정원!$D:$G,4,FALSE))</f>
        <v>* Manager</v>
      </c>
      <c r="H14" s="61" t="s">
        <v>75</v>
      </c>
      <c r="I14" s="73">
        <v>45833</v>
      </c>
      <c r="J14" s="73">
        <f t="shared" si="3"/>
        <v>46013</v>
      </c>
      <c r="K14" s="64">
        <v>0.2</v>
      </c>
      <c r="L14" s="64">
        <v>0.1</v>
      </c>
      <c r="M14" s="64">
        <v>0.1</v>
      </c>
      <c r="N14" s="64">
        <v>0.1</v>
      </c>
      <c r="O14" s="64">
        <v>0.1</v>
      </c>
      <c r="P14" s="64">
        <v>0.1</v>
      </c>
      <c r="Q14" s="64">
        <v>0.1</v>
      </c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4">
      <c r="A15" s="61">
        <v>14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2"/>
        <v>Havasu</v>
      </c>
      <c r="E15" s="62" t="str">
        <f>IF($H15=0,"",VLOOKUP($H15,정원!$D:$G,2,FALSE))</f>
        <v>Control Eng.</v>
      </c>
      <c r="F15" s="62" t="str">
        <f>IF($H15=0,"",VLOOKUP($H15,정원!$D:$G,3,FALSE))</f>
        <v>Software</v>
      </c>
      <c r="G15" s="62" t="str">
        <f>IF($H15=0,"",VLOOKUP($H15,정원!$D:$G,4,FALSE))</f>
        <v>Leader</v>
      </c>
      <c r="H15" s="61" t="s">
        <v>76</v>
      </c>
      <c r="I15" s="73">
        <v>45833</v>
      </c>
      <c r="J15" s="73">
        <f t="shared" si="3"/>
        <v>46013</v>
      </c>
      <c r="K15" s="64">
        <v>0.3</v>
      </c>
      <c r="L15" s="64">
        <v>0.1</v>
      </c>
      <c r="M15" s="64">
        <v>0.1</v>
      </c>
      <c r="N15" s="64">
        <v>0.1</v>
      </c>
      <c r="O15" s="64">
        <v>0.1</v>
      </c>
      <c r="P15" s="64">
        <v>0.1</v>
      </c>
      <c r="Q15" s="64">
        <v>0.1</v>
      </c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4">
      <c r="A16" s="61">
        <v>15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2"/>
        <v>Havasu</v>
      </c>
      <c r="E16" s="62" t="str">
        <f>IF($H16=0,"",VLOOKUP($H16,정원!$D:$G,2,FALSE))</f>
        <v>Control Eng.</v>
      </c>
      <c r="F16" s="62" t="str">
        <f>IF($H16=0,"",VLOOKUP($H16,정원!$D:$G,3,FALSE))</f>
        <v>Software</v>
      </c>
      <c r="G16" s="62" t="str">
        <f>IF($H16=0,"",VLOOKUP($H16,정원!$D:$G,4,FALSE))</f>
        <v>Software engineer</v>
      </c>
      <c r="H16" s="65" t="s">
        <v>305</v>
      </c>
      <c r="I16" s="73">
        <v>45833</v>
      </c>
      <c r="J16" s="73">
        <f t="shared" si="3"/>
        <v>46013</v>
      </c>
      <c r="K16" s="64">
        <v>1</v>
      </c>
      <c r="L16" s="64">
        <v>0.5</v>
      </c>
      <c r="M16" s="64">
        <v>0.5</v>
      </c>
      <c r="N16" s="64">
        <v>0.5</v>
      </c>
      <c r="O16" s="64">
        <v>0.5</v>
      </c>
      <c r="P16" s="64">
        <v>0.5</v>
      </c>
      <c r="Q16" s="64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16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2"/>
        <v>Havasu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SW test engineer</v>
      </c>
      <c r="H17" s="65" t="s">
        <v>290</v>
      </c>
      <c r="I17" s="73">
        <v>45833</v>
      </c>
      <c r="J17" s="73">
        <f t="shared" si="3"/>
        <v>46013</v>
      </c>
      <c r="K17" s="64">
        <v>0.5</v>
      </c>
      <c r="L17" s="64">
        <v>0.5</v>
      </c>
      <c r="M17" s="64">
        <v>0.5</v>
      </c>
      <c r="N17" s="64">
        <v>0.5</v>
      </c>
      <c r="O17" s="64"/>
      <c r="P17" s="64"/>
      <c r="Q17" s="64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17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2"/>
        <v>Havasu</v>
      </c>
      <c r="E18" s="62" t="str">
        <f>IF($H18=0,"",VLOOKUP($H18,정원!$D:$G,2,FALSE))</f>
        <v>Control Eng.</v>
      </c>
      <c r="F18" s="62" t="str">
        <f>IF($H18=0,"",VLOOKUP($H18,정원!$D:$G,3,FALSE))</f>
        <v>Electrical</v>
      </c>
      <c r="G18" s="62" t="str">
        <f>IF($H18=0,"",VLOOKUP($H18,정원!$D:$G,4,FALSE))</f>
        <v>Leader</v>
      </c>
      <c r="H18" s="65" t="s">
        <v>79</v>
      </c>
      <c r="I18" s="73">
        <v>45833</v>
      </c>
      <c r="J18" s="73">
        <f t="shared" si="3"/>
        <v>46013</v>
      </c>
      <c r="K18" s="64">
        <v>0.4</v>
      </c>
      <c r="L18" s="64">
        <v>0.1</v>
      </c>
      <c r="M18" s="64">
        <v>0.1</v>
      </c>
      <c r="N18" s="64">
        <v>0.1</v>
      </c>
      <c r="O18" s="64">
        <v>0.1</v>
      </c>
      <c r="P18" s="64">
        <v>0.1</v>
      </c>
      <c r="Q18" s="64">
        <v>0.1</v>
      </c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>
      <c r="A19" s="61">
        <v>18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2"/>
        <v>Havasu</v>
      </c>
      <c r="E19" s="62" t="str">
        <f>IF($H19=0,"",VLOOKUP($H19,정원!$D:$G,2,FALSE))</f>
        <v>Control Eng.</v>
      </c>
      <c r="F19" s="62" t="str">
        <f>IF($H19=0,"",VLOOKUP($H19,정원!$D:$G,3,FALSE))</f>
        <v>Electrical</v>
      </c>
      <c r="G19" s="62" t="str">
        <f>IF($H19=0,"",VLOOKUP($H19,정원!$D:$G,4,FALSE))</f>
        <v>Electrical engineer</v>
      </c>
      <c r="H19" s="65" t="s">
        <v>306</v>
      </c>
      <c r="I19" s="73">
        <v>45833</v>
      </c>
      <c r="J19" s="73">
        <f t="shared" si="3"/>
        <v>46013</v>
      </c>
      <c r="K19" s="64">
        <v>1</v>
      </c>
      <c r="L19" s="64">
        <v>1</v>
      </c>
      <c r="M19" s="64">
        <v>1</v>
      </c>
      <c r="N19" s="64">
        <v>0.5</v>
      </c>
      <c r="Q19" s="64">
        <v>0.5</v>
      </c>
      <c r="R19" s="61">
        <v>0.3</v>
      </c>
      <c r="S19" s="61">
        <v>0.1</v>
      </c>
      <c r="T19" s="61">
        <v>0.1</v>
      </c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19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2"/>
        <v>Havasu</v>
      </c>
      <c r="E20" s="62" t="str">
        <f>IF($H20=0,"",VLOOKUP($H20,정원!$D:$G,2,FALSE))</f>
        <v>Control Eng.</v>
      </c>
      <c r="F20" s="62" t="str">
        <f>IF($H20=0,"",VLOOKUP($H20,정원!$D:$G,3,FALSE))</f>
        <v>Electrical</v>
      </c>
      <c r="G20" s="62" t="str">
        <f>IF($H20=0,"",VLOOKUP($H20,정원!$D:$G,4,FALSE))</f>
        <v>Electrical engineer</v>
      </c>
      <c r="H20" s="65" t="s">
        <v>80</v>
      </c>
      <c r="I20" s="73">
        <v>45833</v>
      </c>
      <c r="J20" s="73">
        <f t="shared" si="3"/>
        <v>46013</v>
      </c>
      <c r="K20" s="61"/>
      <c r="L20" s="61"/>
      <c r="M20" s="61"/>
      <c r="N20" s="61">
        <v>0.5</v>
      </c>
      <c r="O20" s="61">
        <v>0.5</v>
      </c>
      <c r="P20" s="61">
        <v>0.5</v>
      </c>
      <c r="Q20" s="61">
        <v>0.5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>
      <c r="A21" s="61">
        <v>20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>$A$1</f>
        <v>Havasu</v>
      </c>
      <c r="E21" s="62">
        <f>IF($H21=0,"",VLOOKUP($H21,정원!$D:$G,2,FALSE))</f>
        <v>0</v>
      </c>
      <c r="F21" s="62">
        <f>IF($H21=0,"",VLOOKUP($H21,정원!$D:$G,3,FALSE))</f>
        <v>0</v>
      </c>
      <c r="G21" s="62">
        <f>IF($H21=0,"",VLOOKUP($H21,정원!$D:$G,4,FALSE))</f>
        <v>0</v>
      </c>
      <c r="H21" s="65" t="s">
        <v>278</v>
      </c>
      <c r="I21" s="73">
        <v>45833</v>
      </c>
      <c r="J21" s="73">
        <f>I21+180</f>
        <v>46013</v>
      </c>
      <c r="K21" s="61" t="s">
        <v>64</v>
      </c>
      <c r="L21" s="61"/>
      <c r="M21" s="61"/>
      <c r="N21" s="61"/>
      <c r="O21" s="61"/>
      <c r="P21" s="61"/>
      <c r="Q21" s="61" t="s">
        <v>65</v>
      </c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</row>
    <row r="22" spans="1:53">
      <c r="A22" s="61"/>
      <c r="D22" s="61"/>
      <c r="E22" s="66"/>
      <c r="F22" s="61"/>
      <c r="G22" s="67"/>
      <c r="H22" s="163"/>
      <c r="I22" s="163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</row>
    <row r="23" spans="1:53">
      <c r="A23" s="61"/>
      <c r="D23" s="61"/>
      <c r="E23" s="66"/>
      <c r="F23" s="61"/>
      <c r="G23" s="67"/>
      <c r="H23" s="163"/>
      <c r="I23" s="163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</row>
  </sheetData>
  <autoFilter ref="A2:BA21" xr:uid="{95257CDA-5674-41D2-AFEF-BC9A4E43FA57}"/>
  <mergeCells count="2">
    <mergeCell ref="H22:I22"/>
    <mergeCell ref="H23:I23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7EB5F5-1FF7-408A-A64A-762B8C6BCB4C}">
          <x14:formula1>
            <xm:f>'Project IO'!$B$4:$B$101</xm:f>
          </x14:formula1>
          <xm:sqref>A1</xm:sqref>
        </x14:dataValidation>
        <x14:dataValidation type="list" allowBlank="1" showInputMessage="1" showErrorMessage="1" xr:uid="{CAEC3250-5F1A-4FE9-92E1-B8E277DDE109}">
          <x14:formula1>
            <xm:f>정원!$D:$D</xm:f>
          </x14:formula1>
          <xm:sqref>H3:H21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A89-8AC9-4918-8456-52D7DCA4F880}">
  <sheetPr>
    <tabColor theme="6" tint="0.79998168889431442"/>
  </sheetPr>
  <dimension ref="A1:BA33"/>
  <sheetViews>
    <sheetView zoomScale="85" zoomScaleNormal="85" workbookViewId="0">
      <pane xSplit="10" ySplit="2" topLeftCell="N3" activePane="bottomRight" state="frozen"/>
      <selection pane="bottomRight" activeCell="R15" sqref="R15"/>
      <selection pane="bottomLeft" activeCell="A3" sqref="A3"/>
      <selection pane="topRight" activeCell="K1" sqref="K1"/>
    </sheetView>
  </sheetViews>
  <sheetFormatPr defaultColWidth="9" defaultRowHeight="16.5" outlineLevelCol="1"/>
  <cols>
    <col min="1" max="1" width="13.125" style="51" bestFit="1" customWidth="1"/>
    <col min="2" max="2" width="9.125" style="51" bestFit="1" customWidth="1"/>
    <col min="3" max="4" width="14.625" style="51" customWidth="1"/>
    <col min="5" max="6" width="20.125" style="51" bestFit="1" customWidth="1"/>
    <col min="7" max="7" width="18.5" style="51" bestFit="1" customWidth="1"/>
    <col min="8" max="8" width="15" style="51" bestFit="1" customWidth="1"/>
    <col min="9" max="10" width="9" style="51"/>
    <col min="11" max="13" width="0" style="51" hidden="1" customWidth="1" outlineLevel="1"/>
    <col min="14" max="14" width="9" style="51" collapsed="1"/>
    <col min="15" max="16384" width="9" style="51"/>
  </cols>
  <sheetData>
    <row r="1" spans="1:53" ht="27" customHeight="1">
      <c r="A1" s="48" t="s">
        <v>143</v>
      </c>
      <c r="B1" s="49" t="str">
        <f>IF($A$1=0,"",VLOOKUP(A1,'Project IO'!$B$4:$C$101,2,FALSE))</f>
        <v>406437 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BA1" si="0">SUM(K3:K1048576)</f>
        <v>18</v>
      </c>
      <c r="L1" s="51">
        <f t="shared" si="0"/>
        <v>18.700000000000003</v>
      </c>
      <c r="M1" s="51">
        <f t="shared" si="0"/>
        <v>16.799999999999997</v>
      </c>
      <c r="N1" s="51">
        <f t="shared" si="0"/>
        <v>14.599999999999996</v>
      </c>
      <c r="O1" s="51">
        <f t="shared" si="0"/>
        <v>12.599999999999998</v>
      </c>
      <c r="P1" s="51">
        <f t="shared" si="0"/>
        <v>12.099999999999998</v>
      </c>
      <c r="Q1" s="51">
        <f t="shared" si="0"/>
        <v>11.8</v>
      </c>
      <c r="R1" s="51">
        <f t="shared" si="0"/>
        <v>8.4</v>
      </c>
      <c r="S1" s="51">
        <f t="shared" si="0"/>
        <v>8.4</v>
      </c>
      <c r="T1" s="51">
        <f t="shared" si="0"/>
        <v>7.8999999999999995</v>
      </c>
      <c r="U1" s="51">
        <f t="shared" si="0"/>
        <v>7.3</v>
      </c>
      <c r="V1" s="51">
        <f t="shared" si="0"/>
        <v>6.8</v>
      </c>
      <c r="W1" s="51">
        <f t="shared" si="0"/>
        <v>6.7</v>
      </c>
      <c r="X1" s="51">
        <f t="shared" si="0"/>
        <v>6.7</v>
      </c>
      <c r="Y1" s="51">
        <f>SUM(Y3:Y1048576)</f>
        <v>6.7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64</v>
      </c>
      <c r="J2" s="58" t="s">
        <v>65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>
      <c r="A3" s="61">
        <v>1</v>
      </c>
      <c r="B3" s="62" t="str">
        <f>IF(D3=0,"",VLOOKUP($D3,'Project IO'!$B:$D,3,FALSE))</f>
        <v>Active</v>
      </c>
      <c r="C3" s="62"/>
      <c r="D3" s="62" t="str">
        <f t="shared" ref="D3:D33" si="1">$A$1</f>
        <v>Tumalo Ph1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292</v>
      </c>
      <c r="I3" s="73">
        <v>46054</v>
      </c>
      <c r="J3" s="73">
        <f t="shared" ref="J3:J33" si="2">I3+210</f>
        <v>46264</v>
      </c>
      <c r="K3" s="64">
        <v>0.2</v>
      </c>
      <c r="L3" s="64">
        <v>0.2</v>
      </c>
      <c r="M3" s="64">
        <v>0.2</v>
      </c>
      <c r="N3" s="64">
        <v>0.2</v>
      </c>
      <c r="O3" s="64">
        <v>0.2</v>
      </c>
      <c r="P3" s="64">
        <v>0.2</v>
      </c>
      <c r="Q3" s="64">
        <v>0.2</v>
      </c>
      <c r="R3" s="64">
        <v>0.2</v>
      </c>
      <c r="S3" s="64">
        <v>0.2</v>
      </c>
      <c r="T3" s="64">
        <v>0.2</v>
      </c>
      <c r="U3" s="64">
        <v>0.1</v>
      </c>
      <c r="V3" s="64">
        <v>0.1</v>
      </c>
      <c r="W3" s="64">
        <v>0.1</v>
      </c>
      <c r="X3" s="64">
        <v>0.1</v>
      </c>
      <c r="Y3" s="64">
        <v>0.1</v>
      </c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62" t="str">
        <f>IF(D4=0,"",VLOOKUP($D4,'Project IO'!$B:$D,3,FALSE))</f>
        <v>Active</v>
      </c>
      <c r="C4" s="62"/>
      <c r="D4" s="62" t="str">
        <f t="shared" si="1"/>
        <v>Tumalo Ph1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67</v>
      </c>
      <c r="I4" s="73">
        <v>46054</v>
      </c>
      <c r="J4" s="73">
        <f t="shared" si="2"/>
        <v>46264</v>
      </c>
      <c r="K4" s="64">
        <v>0.2</v>
      </c>
      <c r="L4" s="64">
        <v>0.3</v>
      </c>
      <c r="M4" s="64">
        <v>0.3</v>
      </c>
      <c r="N4" s="64">
        <v>0.3</v>
      </c>
      <c r="O4" s="64">
        <v>0.3</v>
      </c>
      <c r="P4" s="64">
        <v>0.3</v>
      </c>
      <c r="Q4" s="64">
        <v>0.3</v>
      </c>
      <c r="R4" s="64">
        <v>0.3</v>
      </c>
      <c r="S4" s="64">
        <v>0.3</v>
      </c>
      <c r="T4" s="64">
        <v>0.2</v>
      </c>
      <c r="U4" s="64">
        <v>0.2</v>
      </c>
      <c r="V4" s="64">
        <v>0.2</v>
      </c>
      <c r="W4" s="64">
        <v>0.2</v>
      </c>
      <c r="X4" s="64">
        <v>0.2</v>
      </c>
      <c r="Y4" s="64">
        <v>0.2</v>
      </c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62" t="str">
        <f>IF(D5=0,"",VLOOKUP($D5,'Project IO'!$B:$D,3,FALSE))</f>
        <v>Active</v>
      </c>
      <c r="C5" s="62"/>
      <c r="D5" s="62" t="str">
        <f t="shared" si="1"/>
        <v>Tumalo Ph1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245</v>
      </c>
      <c r="I5" s="73">
        <v>46054</v>
      </c>
      <c r="J5" s="73">
        <f t="shared" si="2"/>
        <v>46264</v>
      </c>
      <c r="K5" s="64">
        <v>1</v>
      </c>
      <c r="L5" s="64">
        <v>1</v>
      </c>
      <c r="M5" s="64">
        <v>1</v>
      </c>
      <c r="N5" s="64">
        <v>1</v>
      </c>
      <c r="O5" s="64">
        <v>1</v>
      </c>
      <c r="P5" s="64">
        <v>1</v>
      </c>
      <c r="Q5" s="64">
        <v>0.7</v>
      </c>
      <c r="R5" s="64">
        <v>0.5</v>
      </c>
      <c r="S5" s="64">
        <v>0.5</v>
      </c>
      <c r="T5" s="64">
        <v>0.5</v>
      </c>
      <c r="U5" s="64">
        <v>0.5</v>
      </c>
      <c r="V5" s="64">
        <v>0.5</v>
      </c>
      <c r="W5" s="64">
        <v>0.5</v>
      </c>
      <c r="X5" s="64">
        <v>0.5</v>
      </c>
      <c r="Y5" s="64">
        <v>0.5</v>
      </c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Tumalo Ph1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69</v>
      </c>
      <c r="I6" s="73">
        <v>46054</v>
      </c>
      <c r="J6" s="73">
        <f t="shared" si="2"/>
        <v>46264</v>
      </c>
      <c r="K6" s="64">
        <v>0.2</v>
      </c>
      <c r="L6" s="64">
        <v>0.3</v>
      </c>
      <c r="M6" s="64">
        <v>0.3</v>
      </c>
      <c r="N6" s="64">
        <v>0.3</v>
      </c>
      <c r="O6" s="64">
        <v>0.3</v>
      </c>
      <c r="P6" s="64">
        <v>0.3</v>
      </c>
      <c r="Q6" s="64">
        <v>0.2</v>
      </c>
      <c r="R6" s="64">
        <v>0.3</v>
      </c>
      <c r="S6" s="64">
        <v>0.3</v>
      </c>
      <c r="T6" s="64">
        <v>0.2</v>
      </c>
      <c r="U6" s="64">
        <v>0.2</v>
      </c>
      <c r="V6" s="64">
        <v>0.2</v>
      </c>
      <c r="W6" s="64">
        <v>0.1</v>
      </c>
      <c r="X6" s="64">
        <v>0.1</v>
      </c>
      <c r="Y6" s="64">
        <v>0.1</v>
      </c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Tumalo Ph1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5" t="s">
        <v>202</v>
      </c>
      <c r="I7" s="73">
        <v>46054</v>
      </c>
      <c r="J7" s="73">
        <f t="shared" si="2"/>
        <v>46264</v>
      </c>
      <c r="K7" s="64">
        <v>1</v>
      </c>
      <c r="L7" s="64">
        <v>1</v>
      </c>
      <c r="M7" s="64">
        <v>1</v>
      </c>
      <c r="N7" s="64">
        <v>0.6</v>
      </c>
      <c r="O7" s="64">
        <v>0.6</v>
      </c>
      <c r="P7" s="64">
        <v>0.6</v>
      </c>
      <c r="Q7" s="64">
        <v>0.6</v>
      </c>
      <c r="R7" s="64">
        <v>0.6</v>
      </c>
      <c r="S7" s="64">
        <v>0.6</v>
      </c>
      <c r="T7" s="64">
        <v>0.5</v>
      </c>
      <c r="U7" s="66">
        <v>0.5</v>
      </c>
      <c r="V7" s="66">
        <v>0.5</v>
      </c>
      <c r="W7" s="66">
        <v>0.5</v>
      </c>
      <c r="X7" s="66">
        <v>0.5</v>
      </c>
      <c r="Y7" s="66">
        <v>0.5</v>
      </c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Tumalo Ph1</v>
      </c>
      <c r="E8" s="62" t="str">
        <f>IF($H8=0,"",VLOOKUP($H8,정원!$D:$G,2,FALSE))</f>
        <v>NPI IS</v>
      </c>
      <c r="F8" s="62" t="str">
        <f>IF($H8=0,"",VLOOKUP($H8,정원!$D:$G,3,FALSE))</f>
        <v>System 3</v>
      </c>
      <c r="G8" s="62" t="str">
        <f>IF($H8=0,"",VLOOKUP($H8,정원!$D:$G,4,FALSE))</f>
        <v>Tech Lead</v>
      </c>
      <c r="H8" s="65" t="s">
        <v>201</v>
      </c>
      <c r="I8" s="73">
        <v>46054</v>
      </c>
      <c r="J8" s="73">
        <f t="shared" si="2"/>
        <v>46264</v>
      </c>
      <c r="K8" s="64">
        <v>1</v>
      </c>
      <c r="L8" s="64">
        <v>1</v>
      </c>
      <c r="M8" s="64">
        <v>1</v>
      </c>
      <c r="N8" s="64">
        <v>1</v>
      </c>
      <c r="O8" s="64">
        <v>0.5</v>
      </c>
      <c r="P8" s="64"/>
      <c r="Q8" s="64"/>
      <c r="R8" s="64"/>
      <c r="S8" s="64"/>
      <c r="T8" s="64"/>
      <c r="U8" s="66"/>
      <c r="V8" s="66"/>
      <c r="W8" s="66"/>
      <c r="X8" s="66"/>
      <c r="Y8" s="66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Tumalo Ph1</v>
      </c>
      <c r="E9" s="62" t="str">
        <f>IF($H9=0,"",VLOOKUP($H9,정원!$D:$G,2,FALSE))</f>
        <v>NPI IS</v>
      </c>
      <c r="F9" s="62" t="str">
        <f>IF($H9=0,"",VLOOKUP($H9,정원!$D:$G,3,FALSE))</f>
        <v>System 2</v>
      </c>
      <c r="G9" s="62" t="str">
        <f>IF($H9=0,"",VLOOKUP($H9,정원!$D:$G,4,FALSE))</f>
        <v>System engineer</v>
      </c>
      <c r="H9" s="65" t="s">
        <v>190</v>
      </c>
      <c r="I9" s="73">
        <v>46054</v>
      </c>
      <c r="J9" s="73">
        <f t="shared" si="2"/>
        <v>46264</v>
      </c>
      <c r="K9" s="64">
        <v>1</v>
      </c>
      <c r="L9" s="64">
        <v>1</v>
      </c>
      <c r="M9" s="64">
        <v>0.6</v>
      </c>
      <c r="N9" s="64">
        <v>0.6</v>
      </c>
      <c r="O9" s="66">
        <v>0.5</v>
      </c>
      <c r="P9" s="66">
        <v>0.5</v>
      </c>
      <c r="Q9" s="64">
        <v>0.6</v>
      </c>
      <c r="R9" s="64"/>
      <c r="S9" s="64"/>
      <c r="T9" s="64"/>
      <c r="U9" s="64"/>
      <c r="V9" s="64"/>
      <c r="W9" s="64"/>
      <c r="X9" s="64"/>
      <c r="Y9" s="64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si="1"/>
        <v>Tumalo Ph1</v>
      </c>
      <c r="E10" s="62" t="str">
        <f>IF($H10=0,"",VLOOKUP($H10,정원!$D:$G,2,FALSE))</f>
        <v>NPI IS</v>
      </c>
      <c r="F10" s="62" t="str">
        <f>IF($H10=0,"",VLOOKUP($H10,정원!$D:$G,3,FALSE))</f>
        <v>System 3</v>
      </c>
      <c r="G10" s="62" t="str">
        <f>IF($H10=0,"",VLOOKUP($H10,정원!$D:$G,4,FALSE))</f>
        <v>System engineer</v>
      </c>
      <c r="H10" s="65" t="s">
        <v>198</v>
      </c>
      <c r="I10" s="73">
        <v>46054</v>
      </c>
      <c r="J10" s="73">
        <f t="shared" si="2"/>
        <v>46264</v>
      </c>
      <c r="K10" s="64">
        <v>1</v>
      </c>
      <c r="L10" s="64">
        <v>1</v>
      </c>
      <c r="M10" s="64">
        <v>0.6</v>
      </c>
      <c r="N10" s="64">
        <v>0.6</v>
      </c>
      <c r="O10" s="64">
        <v>0.6</v>
      </c>
      <c r="P10" s="64">
        <v>0.6</v>
      </c>
      <c r="Q10" s="64">
        <v>0.6</v>
      </c>
      <c r="R10" s="64">
        <v>0.6</v>
      </c>
      <c r="S10" s="64">
        <v>0.6</v>
      </c>
      <c r="T10" s="64">
        <v>0.6</v>
      </c>
      <c r="U10" s="66">
        <v>0.6</v>
      </c>
      <c r="V10" s="66">
        <v>0.6</v>
      </c>
      <c r="W10" s="66">
        <v>0.6</v>
      </c>
      <c r="X10" s="66">
        <v>0.6</v>
      </c>
      <c r="Y10" s="66">
        <v>0.6</v>
      </c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1"/>
        <v>Tumalo Ph1</v>
      </c>
      <c r="E11" s="62" t="str">
        <f>IF($H11=0,"",VLOOKUP($H11,정원!$D:$G,2,FALSE))</f>
        <v>NPI IS</v>
      </c>
      <c r="F11" s="62" t="str">
        <f>IF($H11=0,"",VLOOKUP($H11,정원!$D:$G,3,FALSE))</f>
        <v>System 3</v>
      </c>
      <c r="G11" s="62" t="str">
        <f>IF($H11=0,"",VLOOKUP($H11,정원!$D:$G,4,FALSE))</f>
        <v>System engineer</v>
      </c>
      <c r="H11" s="65" t="s">
        <v>199</v>
      </c>
      <c r="I11" s="73">
        <v>46054</v>
      </c>
      <c r="J11" s="73">
        <f t="shared" si="2"/>
        <v>46264</v>
      </c>
      <c r="K11" s="64">
        <v>1</v>
      </c>
      <c r="L11" s="64">
        <v>1</v>
      </c>
      <c r="M11" s="64">
        <v>0.6</v>
      </c>
      <c r="N11" s="64">
        <v>0.6</v>
      </c>
      <c r="O11" s="64">
        <v>0.6</v>
      </c>
      <c r="P11" s="64">
        <v>0.6</v>
      </c>
      <c r="Q11" s="64">
        <v>0.6</v>
      </c>
      <c r="R11" s="64">
        <v>0.6</v>
      </c>
      <c r="S11" s="64">
        <v>0.6</v>
      </c>
      <c r="T11" s="64">
        <v>0.6</v>
      </c>
      <c r="U11" s="64">
        <v>0.6</v>
      </c>
      <c r="V11" s="64">
        <v>0.6</v>
      </c>
      <c r="W11" s="64">
        <v>0.6</v>
      </c>
      <c r="X11" s="64">
        <v>0.6</v>
      </c>
      <c r="Y11" s="64">
        <v>0.6</v>
      </c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1"/>
        <v>Tumalo Ph1</v>
      </c>
      <c r="E12" s="62" t="str">
        <f>IF($H12=0,"",VLOOKUP($H12,정원!$D:$G,2,FALSE))</f>
        <v>NPI IS</v>
      </c>
      <c r="F12" s="62" t="str">
        <f>IF($H12=0,"",VLOOKUP($H12,정원!$D:$G,3,FALSE))</f>
        <v>System 1</v>
      </c>
      <c r="G12" s="62" t="str">
        <f>IF($H12=0,"",VLOOKUP($H12,정원!$D:$G,4,FALSE))</f>
        <v>System engineer</v>
      </c>
      <c r="H12" s="65" t="s">
        <v>183</v>
      </c>
      <c r="I12" s="73">
        <v>46054</v>
      </c>
      <c r="J12" s="73">
        <f t="shared" si="2"/>
        <v>46264</v>
      </c>
      <c r="K12" s="64"/>
      <c r="L12" s="64"/>
      <c r="M12" s="64"/>
      <c r="N12" s="64">
        <v>0.5</v>
      </c>
      <c r="O12" s="64">
        <v>0.5</v>
      </c>
      <c r="P12" s="64">
        <v>0.5</v>
      </c>
      <c r="Q12" s="64">
        <v>0.5</v>
      </c>
      <c r="R12" s="64">
        <v>0.5</v>
      </c>
      <c r="S12" s="64">
        <v>0.5</v>
      </c>
      <c r="T12" s="64">
        <v>0.5</v>
      </c>
      <c r="U12" s="64">
        <v>0.5</v>
      </c>
      <c r="V12" s="64">
        <v>0.5</v>
      </c>
      <c r="W12" s="64">
        <v>0.5</v>
      </c>
      <c r="X12" s="64">
        <v>0.5</v>
      </c>
      <c r="Y12" s="64">
        <v>0.5</v>
      </c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1"/>
        <v>Tumalo Ph1</v>
      </c>
      <c r="E13" s="62" t="str">
        <f>IF($H13=0,"",VLOOKUP($H13,정원!$D:$G,2,FALSE))</f>
        <v>NPI IS</v>
      </c>
      <c r="F13" s="62" t="str">
        <f>IF($H13=0,"",VLOOKUP($H13,정원!$D:$G,3,FALSE))</f>
        <v>System 3</v>
      </c>
      <c r="G13" s="62" t="str">
        <f>IF($H13=0,"",VLOOKUP($H13,정원!$D:$G,4,FALSE))</f>
        <v>Service engineer</v>
      </c>
      <c r="H13" s="65" t="s">
        <v>197</v>
      </c>
      <c r="I13" s="73">
        <v>46054</v>
      </c>
      <c r="J13" s="73">
        <f t="shared" si="2"/>
        <v>46264</v>
      </c>
      <c r="K13" s="64">
        <v>1</v>
      </c>
      <c r="L13" s="64">
        <v>1</v>
      </c>
      <c r="M13" s="64">
        <v>0.6</v>
      </c>
      <c r="N13" s="64">
        <v>0.6</v>
      </c>
      <c r="O13" s="64">
        <v>0.6</v>
      </c>
      <c r="P13" s="64">
        <v>0.6</v>
      </c>
      <c r="Q13" s="64">
        <v>0.6</v>
      </c>
      <c r="R13" s="64">
        <v>0.6</v>
      </c>
      <c r="S13" s="64">
        <v>0.6</v>
      </c>
      <c r="T13" s="64">
        <v>0.6</v>
      </c>
      <c r="U13" s="64">
        <v>0.6</v>
      </c>
      <c r="V13" s="64">
        <v>0.6</v>
      </c>
      <c r="W13" s="64">
        <v>0.6</v>
      </c>
      <c r="X13" s="64">
        <v>0.6</v>
      </c>
      <c r="Y13" s="64">
        <v>0.6</v>
      </c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1"/>
        <v>Tumalo Ph1</v>
      </c>
      <c r="E14" s="62" t="str">
        <f>IF($H14=0,"",VLOOKUP($H14,정원!$D:$G,2,FALSE))</f>
        <v>NPI IS</v>
      </c>
      <c r="F14" s="62" t="str">
        <f>IF($H14=0,"",VLOOKUP($H14,정원!$D:$G,3,FALSE))</f>
        <v>System 1</v>
      </c>
      <c r="G14" s="62" t="str">
        <f>IF($H14=0,"",VLOOKUP($H14,정원!$D:$G,4,FALSE))</f>
        <v>Service engineer</v>
      </c>
      <c r="H14" s="65" t="s">
        <v>181</v>
      </c>
      <c r="I14" s="73">
        <v>46054</v>
      </c>
      <c r="J14" s="73">
        <f t="shared" si="2"/>
        <v>46264</v>
      </c>
      <c r="K14" s="64">
        <v>1</v>
      </c>
      <c r="L14" s="64">
        <v>1</v>
      </c>
      <c r="M14" s="64">
        <v>0.6</v>
      </c>
      <c r="N14" s="64">
        <v>0.6</v>
      </c>
      <c r="O14" s="64"/>
      <c r="P14" s="64"/>
      <c r="Q14" s="64"/>
      <c r="R14" s="64"/>
      <c r="S14" s="64"/>
      <c r="T14" s="64"/>
      <c r="U14" s="66"/>
      <c r="V14" s="66"/>
      <c r="W14" s="66"/>
      <c r="X14" s="66"/>
      <c r="Y14" s="66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>
      <c r="A15" s="61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1"/>
        <v>Tumalo Ph1</v>
      </c>
      <c r="E15" s="62" t="str">
        <f>IF($H15=0,"",VLOOKUP($H15,정원!$D:$G,2,FALSE))</f>
        <v>NPI IS</v>
      </c>
      <c r="F15" s="62" t="str">
        <f>IF($H15=0,"",VLOOKUP($H15,정원!$D:$G,3,FALSE))</f>
        <v>System 1</v>
      </c>
      <c r="G15" s="62" t="str">
        <f>IF($H15=0,"",VLOOKUP($H15,정원!$D:$G,4,FALSE))</f>
        <v>Technician</v>
      </c>
      <c r="H15" s="65" t="s">
        <v>186</v>
      </c>
      <c r="I15" s="73">
        <v>46054</v>
      </c>
      <c r="J15" s="73">
        <f t="shared" si="2"/>
        <v>46264</v>
      </c>
      <c r="K15" s="64">
        <v>0.8</v>
      </c>
      <c r="L15" s="64">
        <v>0.8</v>
      </c>
      <c r="M15" s="64">
        <v>0.8</v>
      </c>
      <c r="N15" s="64">
        <v>0.8</v>
      </c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>
      <c r="A16" s="61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Tumalo Ph1</v>
      </c>
      <c r="E16" s="62" t="str">
        <f>IF($H16=0,"",VLOOKUP($H16,정원!$D:$G,2,FALSE))</f>
        <v>NPI IS</v>
      </c>
      <c r="F16" s="62" t="str">
        <f>IF($H16=0,"",VLOOKUP($H16,정원!$D:$G,3,FALSE))</f>
        <v>Mechanical</v>
      </c>
      <c r="G16" s="62" t="str">
        <f>IF($H16=0,"",VLOOKUP($H16,정원!$D:$G,4,FALSE))</f>
        <v>Leader</v>
      </c>
      <c r="H16" s="65" t="s">
        <v>73</v>
      </c>
      <c r="I16" s="73">
        <v>46054</v>
      </c>
      <c r="J16" s="73">
        <f t="shared" si="2"/>
        <v>46264</v>
      </c>
      <c r="K16" s="64">
        <v>0.3</v>
      </c>
      <c r="L16" s="64">
        <v>0.3</v>
      </c>
      <c r="M16" s="64">
        <v>0.5</v>
      </c>
      <c r="N16" s="64">
        <v>0.3</v>
      </c>
      <c r="O16" s="64">
        <v>0.3</v>
      </c>
      <c r="P16" s="64">
        <v>0.3</v>
      </c>
      <c r="Q16" s="64">
        <v>0.3</v>
      </c>
      <c r="R16" s="64">
        <v>0.1</v>
      </c>
      <c r="S16" s="64">
        <v>0.1</v>
      </c>
      <c r="T16" s="64">
        <v>0.1</v>
      </c>
      <c r="U16" s="64">
        <v>0.1</v>
      </c>
      <c r="V16" s="64">
        <v>0.1</v>
      </c>
      <c r="W16" s="64">
        <v>0.1</v>
      </c>
      <c r="X16" s="64">
        <v>0.1</v>
      </c>
      <c r="Y16" s="64">
        <v>0.1</v>
      </c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Tumalo Ph1</v>
      </c>
      <c r="E17" s="62" t="str">
        <f>IF($H17=0,"",VLOOKUP($H17,정원!$D:$G,2,FALSE))</f>
        <v>NPI IS</v>
      </c>
      <c r="F17" s="62" t="str">
        <f>IF($H17=0,"",VLOOKUP($H17,정원!$D:$G,3,FALSE))</f>
        <v>Mechanical</v>
      </c>
      <c r="G17" s="62" t="str">
        <f>IF($H17=0,"",VLOOKUP($H17,정원!$D:$G,4,FALSE))</f>
        <v>Mechanical engineer</v>
      </c>
      <c r="H17" s="65" t="s">
        <v>260</v>
      </c>
      <c r="I17" s="73">
        <v>46054</v>
      </c>
      <c r="J17" s="73">
        <f t="shared" si="2"/>
        <v>46264</v>
      </c>
      <c r="K17" s="64">
        <v>1</v>
      </c>
      <c r="L17" s="64">
        <v>1</v>
      </c>
      <c r="M17" s="64">
        <v>1</v>
      </c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62" t="str">
        <f t="shared" si="1"/>
        <v>Tumalo Ph1</v>
      </c>
      <c r="E18" s="62" t="str">
        <f>IF($H18=0,"",VLOOKUP($H18,정원!$D:$G,2,FALSE))</f>
        <v>NPI IS</v>
      </c>
      <c r="F18" s="62" t="str">
        <f>IF($H18=0,"",VLOOKUP($H18,정원!$D:$G,3,FALSE))</f>
        <v>Mechanical</v>
      </c>
      <c r="G18" s="62" t="str">
        <f>IF($H18=0,"",VLOOKUP($H18,정원!$D:$G,4,FALSE))</f>
        <v>Mechanical engineer</v>
      </c>
      <c r="H18" s="65" t="s">
        <v>258</v>
      </c>
      <c r="I18" s="73">
        <v>46054</v>
      </c>
      <c r="J18" s="73">
        <f t="shared" si="2"/>
        <v>46264</v>
      </c>
      <c r="K18" s="64">
        <v>0.5</v>
      </c>
      <c r="L18" s="64">
        <v>0.5</v>
      </c>
      <c r="M18" s="64">
        <v>1</v>
      </c>
      <c r="N18" s="64">
        <v>0.5</v>
      </c>
      <c r="O18" s="64">
        <v>0.5</v>
      </c>
      <c r="P18" s="64">
        <v>0.5</v>
      </c>
      <c r="Q18" s="64">
        <v>0.5</v>
      </c>
      <c r="R18" s="64">
        <v>0.5</v>
      </c>
      <c r="S18" s="64">
        <v>0.5</v>
      </c>
      <c r="T18" s="64">
        <v>0.5</v>
      </c>
      <c r="U18" s="64">
        <v>0.5</v>
      </c>
      <c r="V18" s="64">
        <v>0.5</v>
      </c>
      <c r="W18" s="64">
        <v>0.5</v>
      </c>
      <c r="X18" s="64">
        <v>0.5</v>
      </c>
      <c r="Y18" s="64">
        <v>0.5</v>
      </c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>
      <c r="A19" s="61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62" t="str">
        <f t="shared" si="1"/>
        <v>Tumalo Ph1</v>
      </c>
      <c r="E19" s="62" t="str">
        <f>IF($H19=0,"",VLOOKUP($H19,정원!$D:$G,2,FALSE))</f>
        <v>NPI IS</v>
      </c>
      <c r="F19" s="62" t="str">
        <f>IF($H19=0,"",VLOOKUP($H19,정원!$D:$G,3,FALSE))</f>
        <v>Mechanical</v>
      </c>
      <c r="G19" s="62" t="str">
        <f>IF($H19=0,"",VLOOKUP($H19,정원!$D:$G,4,FALSE))</f>
        <v>Mechanical engineer</v>
      </c>
      <c r="H19" s="65" t="s">
        <v>262</v>
      </c>
      <c r="I19" s="73">
        <v>46054</v>
      </c>
      <c r="J19" s="73">
        <f t="shared" si="2"/>
        <v>46264</v>
      </c>
      <c r="K19" s="64">
        <v>1</v>
      </c>
      <c r="L19" s="64">
        <v>1</v>
      </c>
      <c r="M19" s="64">
        <v>1</v>
      </c>
      <c r="N19" s="64">
        <v>1</v>
      </c>
      <c r="O19" s="64">
        <v>1</v>
      </c>
      <c r="P19" s="64">
        <v>1</v>
      </c>
      <c r="Q19" s="64">
        <v>1</v>
      </c>
      <c r="R19" s="64"/>
      <c r="S19" s="64"/>
      <c r="T19" s="64"/>
      <c r="U19" s="64"/>
      <c r="V19" s="64"/>
      <c r="W19" s="64"/>
      <c r="X19" s="64"/>
      <c r="Y19" s="64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62" t="str">
        <f t="shared" si="1"/>
        <v>Tumalo Ph1</v>
      </c>
      <c r="E20" s="62" t="str">
        <f>IF($H20=0,"",VLOOKUP($H20,정원!$D:$G,2,FALSE))</f>
        <v>Control Eng.</v>
      </c>
      <c r="F20" s="62" t="str">
        <f>IF($H20=0,"",VLOOKUP($H20,정원!$D:$G,3,FALSE))</f>
        <v>* Manager</v>
      </c>
      <c r="G20" s="62" t="str">
        <f>IF($H20=0,"",VLOOKUP($H20,정원!$D:$G,4,FALSE))</f>
        <v>* Manager</v>
      </c>
      <c r="H20" s="61" t="s">
        <v>75</v>
      </c>
      <c r="I20" s="73">
        <v>46054</v>
      </c>
      <c r="J20" s="73">
        <f t="shared" si="2"/>
        <v>46264</v>
      </c>
      <c r="K20" s="61">
        <v>0.2</v>
      </c>
      <c r="L20" s="61">
        <v>0.2</v>
      </c>
      <c r="M20" s="61">
        <v>0.2</v>
      </c>
      <c r="N20" s="61">
        <v>0.2</v>
      </c>
      <c r="O20" s="61">
        <v>0.2</v>
      </c>
      <c r="P20" s="61">
        <v>0.2</v>
      </c>
      <c r="Q20" s="61">
        <v>0.2</v>
      </c>
      <c r="R20" s="61">
        <v>0.2</v>
      </c>
      <c r="S20" s="61">
        <v>0.2</v>
      </c>
      <c r="T20" s="61">
        <v>0.1</v>
      </c>
      <c r="U20" s="61">
        <v>0.1</v>
      </c>
      <c r="V20" s="61">
        <v>0.1</v>
      </c>
      <c r="W20" s="61">
        <v>0.1</v>
      </c>
      <c r="X20" s="61">
        <v>0.1</v>
      </c>
      <c r="Y20" s="61">
        <v>0.1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>
      <c r="A21" s="61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62" t="str">
        <f t="shared" si="1"/>
        <v>Tumalo Ph1</v>
      </c>
      <c r="E21" s="62" t="str">
        <f>IF($H21=0,"",VLOOKUP($H21,정원!$D:$G,2,FALSE))</f>
        <v>Control Eng.</v>
      </c>
      <c r="F21" s="62" t="str">
        <f>IF($H21=0,"",VLOOKUP($H21,정원!$D:$G,3,FALSE))</f>
        <v>Software</v>
      </c>
      <c r="G21" s="62" t="str">
        <f>IF($H21=0,"",VLOOKUP($H21,정원!$D:$G,4,FALSE))</f>
        <v>Leader</v>
      </c>
      <c r="H21" s="61" t="s">
        <v>76</v>
      </c>
      <c r="I21" s="73">
        <v>46054</v>
      </c>
      <c r="J21" s="73">
        <f t="shared" si="2"/>
        <v>46264</v>
      </c>
      <c r="K21" s="61">
        <v>0.3</v>
      </c>
      <c r="L21" s="61">
        <v>0.3</v>
      </c>
      <c r="M21" s="61">
        <v>0.2</v>
      </c>
      <c r="N21" s="61">
        <v>0.2</v>
      </c>
      <c r="O21" s="61">
        <v>0.2</v>
      </c>
      <c r="P21" s="61">
        <v>0.2</v>
      </c>
      <c r="Q21" s="61">
        <v>0.2</v>
      </c>
      <c r="R21" s="61">
        <v>0.2</v>
      </c>
      <c r="S21" s="61">
        <v>0.2</v>
      </c>
      <c r="T21" s="61">
        <v>0.1</v>
      </c>
      <c r="U21" s="61">
        <v>0.1</v>
      </c>
      <c r="V21" s="61">
        <v>0.1</v>
      </c>
      <c r="W21" s="61">
        <v>0.1</v>
      </c>
      <c r="X21" s="61">
        <v>0.1</v>
      </c>
      <c r="Y21" s="61">
        <v>0.1</v>
      </c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>
      <c r="A22" s="61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62" t="str">
        <f t="shared" si="1"/>
        <v>Tumalo Ph1</v>
      </c>
      <c r="E22" s="62" t="str">
        <f>IF($H22=0,"",VLOOKUP($H22,정원!$D:$G,2,FALSE))</f>
        <v>Control Eng.</v>
      </c>
      <c r="F22" s="62" t="str">
        <f>IF($H22=0,"",VLOOKUP($H22,정원!$D:$G,3,FALSE))</f>
        <v>Software</v>
      </c>
      <c r="G22" s="62" t="str">
        <f>IF($H22=0,"",VLOOKUP($H22,정원!$D:$G,4,FALSE))</f>
        <v>Software engineer</v>
      </c>
      <c r="H22" s="68" t="s">
        <v>297</v>
      </c>
      <c r="I22" s="73">
        <v>46054</v>
      </c>
      <c r="J22" s="73">
        <f t="shared" si="2"/>
        <v>46264</v>
      </c>
      <c r="K22" s="61">
        <v>1</v>
      </c>
      <c r="L22" s="61">
        <v>1</v>
      </c>
      <c r="M22" s="61">
        <v>1</v>
      </c>
      <c r="N22" s="61">
        <v>1</v>
      </c>
      <c r="O22" s="61">
        <v>1</v>
      </c>
      <c r="P22" s="61">
        <v>1</v>
      </c>
      <c r="Q22" s="61">
        <v>1</v>
      </c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>
      <c r="A23" s="61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62" t="str">
        <f t="shared" si="1"/>
        <v>Tumalo Ph1</v>
      </c>
      <c r="E23" s="62" t="str">
        <f>IF($H23=0,"",VLOOKUP($H23,정원!$D:$G,2,FALSE))</f>
        <v>Control Eng.</v>
      </c>
      <c r="F23" s="62" t="str">
        <f>IF($H23=0,"",VLOOKUP($H23,정원!$D:$G,3,FALSE))</f>
        <v>Software</v>
      </c>
      <c r="G23" s="62" t="str">
        <f>IF($H23=0,"",VLOOKUP($H23,정원!$D:$G,4,FALSE))</f>
        <v>Software engineer</v>
      </c>
      <c r="H23" s="68" t="s">
        <v>307</v>
      </c>
      <c r="I23" s="73">
        <v>46054</v>
      </c>
      <c r="J23" s="73">
        <f t="shared" si="2"/>
        <v>46264</v>
      </c>
      <c r="K23" s="61">
        <v>0.5</v>
      </c>
      <c r="L23" s="61">
        <v>0.5</v>
      </c>
      <c r="M23" s="61">
        <v>0.5</v>
      </c>
      <c r="N23" s="61">
        <v>0.5</v>
      </c>
      <c r="O23" s="61">
        <v>0.5</v>
      </c>
      <c r="P23" s="61">
        <v>0.5</v>
      </c>
      <c r="Q23" s="61">
        <v>0.5</v>
      </c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</row>
    <row r="24" spans="1:53">
      <c r="A24" s="61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62" t="str">
        <f t="shared" si="1"/>
        <v>Tumalo Ph1</v>
      </c>
      <c r="E24" s="62" t="str">
        <f>IF($H24=0,"",VLOOKUP($H24,정원!$D:$G,2,FALSE))</f>
        <v>Control Eng.</v>
      </c>
      <c r="F24" s="62" t="str">
        <f>IF($H24=0,"",VLOOKUP($H24,정원!$D:$G,3,FALSE))</f>
        <v>Software</v>
      </c>
      <c r="G24" s="62" t="str">
        <f>IF($H24=0,"",VLOOKUP($H24,정원!$D:$G,4,FALSE))</f>
        <v>Software engineer</v>
      </c>
      <c r="H24" s="68" t="s">
        <v>308</v>
      </c>
      <c r="I24" s="73">
        <v>46054</v>
      </c>
      <c r="J24" s="73">
        <f t="shared" si="2"/>
        <v>46264</v>
      </c>
      <c r="K24" s="61"/>
      <c r="L24" s="61"/>
      <c r="M24" s="61"/>
      <c r="N24" s="61"/>
      <c r="O24" s="61">
        <v>0</v>
      </c>
      <c r="P24" s="61">
        <v>0</v>
      </c>
      <c r="Q24" s="61">
        <v>0</v>
      </c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</row>
    <row r="25" spans="1:53">
      <c r="A25" s="61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62" t="str">
        <f t="shared" si="1"/>
        <v>Tumalo Ph1</v>
      </c>
      <c r="E25" s="62" t="str">
        <f>IF($H25=0,"",VLOOKUP($H25,정원!$D:$G,2,FALSE))</f>
        <v>Control Eng.</v>
      </c>
      <c r="F25" s="62" t="str">
        <f>IF($H25=0,"",VLOOKUP($H25,정원!$D:$G,3,FALSE))</f>
        <v>Software</v>
      </c>
      <c r="G25" s="62" t="str">
        <f>IF($H25=0,"",VLOOKUP($H25,정원!$D:$G,4,FALSE))</f>
        <v>Software engineer</v>
      </c>
      <c r="H25" s="68" t="s">
        <v>309</v>
      </c>
      <c r="I25" s="73">
        <v>46054</v>
      </c>
      <c r="J25" s="73">
        <f t="shared" si="2"/>
        <v>46264</v>
      </c>
      <c r="K25" s="61">
        <v>0.5</v>
      </c>
      <c r="L25" s="61">
        <v>0.5</v>
      </c>
      <c r="M25" s="61">
        <v>0.5</v>
      </c>
      <c r="N25" s="61">
        <v>0.5</v>
      </c>
      <c r="O25" s="61">
        <v>0.5</v>
      </c>
      <c r="P25" s="61">
        <v>0.5</v>
      </c>
      <c r="Q25" s="61">
        <v>0.5</v>
      </c>
      <c r="R25" s="61">
        <v>0.5</v>
      </c>
      <c r="S25" s="61">
        <v>0.5</v>
      </c>
      <c r="T25" s="61">
        <v>0.5</v>
      </c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</row>
    <row r="26" spans="1:53">
      <c r="A26" s="61">
        <v>24</v>
      </c>
      <c r="B26" s="31" t="str">
        <f>IF($D26=0,"",VLOOKUP($D26,'Project IO'!$B:$E,3,FALSE))</f>
        <v>Active</v>
      </c>
      <c r="C26" s="31" t="str">
        <f>IF($D26=0,"",VLOOKUP($D26,'Project IO'!$B:$E,4,FALSE))</f>
        <v>Active</v>
      </c>
      <c r="D26" s="62" t="str">
        <f t="shared" si="1"/>
        <v>Tumalo Ph1</v>
      </c>
      <c r="E26" s="62" t="str">
        <f>IF($H26=0,"",VLOOKUP($H26,정원!$D:$G,2,FALSE))</f>
        <v>Control Eng.</v>
      </c>
      <c r="F26" s="62" t="str">
        <f>IF($H26=0,"",VLOOKUP($H26,정원!$D:$G,3,FALSE))</f>
        <v>Software</v>
      </c>
      <c r="G26" s="62" t="str">
        <f>IF($H26=0,"",VLOOKUP($H26,정원!$D:$G,4,FALSE))</f>
        <v>SW test engineer</v>
      </c>
      <c r="H26" s="68" t="s">
        <v>298</v>
      </c>
      <c r="I26" s="73">
        <v>46054</v>
      </c>
      <c r="J26" s="73">
        <f t="shared" si="2"/>
        <v>46264</v>
      </c>
      <c r="K26" s="61">
        <v>1</v>
      </c>
      <c r="L26" s="61">
        <v>1</v>
      </c>
      <c r="M26" s="61">
        <v>1</v>
      </c>
      <c r="N26" s="61">
        <v>1</v>
      </c>
      <c r="O26" s="61">
        <v>1</v>
      </c>
      <c r="P26" s="61">
        <v>1</v>
      </c>
      <c r="Q26" s="61">
        <v>1</v>
      </c>
      <c r="R26" s="61">
        <v>1</v>
      </c>
      <c r="S26" s="61">
        <v>1</v>
      </c>
      <c r="T26" s="61">
        <v>1</v>
      </c>
      <c r="U26" s="61">
        <v>1</v>
      </c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</row>
    <row r="27" spans="1:53">
      <c r="A27" s="61">
        <v>25</v>
      </c>
      <c r="B27" s="31" t="str">
        <f>IF($D27=0,"",VLOOKUP($D27,'Project IO'!$B:$E,3,FALSE))</f>
        <v>Active</v>
      </c>
      <c r="C27" s="31" t="str">
        <f>IF($D27=0,"",VLOOKUP($D27,'Project IO'!$B:$E,4,FALSE))</f>
        <v>Active</v>
      </c>
      <c r="D27" s="62" t="str">
        <f t="shared" si="1"/>
        <v>Tumalo Ph1</v>
      </c>
      <c r="E27" s="62" t="str">
        <f>IF($H27=0,"",VLOOKUP($H27,정원!$D:$G,2,FALSE))</f>
        <v>Control Eng.</v>
      </c>
      <c r="F27" s="62" t="str">
        <f>IF($H27=0,"",VLOOKUP($H27,정원!$D:$G,3,FALSE))</f>
        <v>Software</v>
      </c>
      <c r="G27" s="62" t="str">
        <f>IF($H27=0,"",VLOOKUP($H27,정원!$D:$G,4,FALSE))</f>
        <v>SW test engineer</v>
      </c>
      <c r="H27" s="68" t="s">
        <v>290</v>
      </c>
      <c r="I27" s="73">
        <v>46054</v>
      </c>
      <c r="J27" s="73">
        <f t="shared" si="2"/>
        <v>46264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>
        <v>0.5</v>
      </c>
      <c r="W27" s="61">
        <v>0.5</v>
      </c>
      <c r="X27" s="61">
        <v>0.5</v>
      </c>
      <c r="Y27" s="61">
        <v>0.5</v>
      </c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</row>
    <row r="28" spans="1:53">
      <c r="A28" s="61">
        <v>26</v>
      </c>
      <c r="B28" s="31" t="str">
        <f>IF($D28=0,"",VLOOKUP($D28,'Project IO'!$B:$E,3,FALSE))</f>
        <v>Active</v>
      </c>
      <c r="C28" s="31" t="str">
        <f>IF($D28=0,"",VLOOKUP($D28,'Project IO'!$B:$E,4,FALSE))</f>
        <v>Active</v>
      </c>
      <c r="D28" s="62" t="str">
        <f t="shared" si="1"/>
        <v>Tumalo Ph1</v>
      </c>
      <c r="E28" s="62" t="str">
        <f>IF($H28=0,"",VLOOKUP($H28,정원!$D:$G,2,FALSE))</f>
        <v>Control Eng.</v>
      </c>
      <c r="F28" s="62" t="str">
        <f>IF($H28=0,"",VLOOKUP($H28,정원!$D:$G,3,FALSE))</f>
        <v>Software</v>
      </c>
      <c r="G28" s="62" t="str">
        <f>IF($H28=0,"",VLOOKUP($H28,정원!$D:$G,4,FALSE))</f>
        <v>SW test engineer</v>
      </c>
      <c r="H28" s="68" t="s">
        <v>310</v>
      </c>
      <c r="I28" s="73">
        <v>46054</v>
      </c>
      <c r="J28" s="73">
        <f t="shared" si="2"/>
        <v>46264</v>
      </c>
      <c r="K28" s="61"/>
      <c r="L28" s="61">
        <v>0.5</v>
      </c>
      <c r="M28" s="61">
        <v>0.5</v>
      </c>
      <c r="N28" s="61">
        <v>0.5</v>
      </c>
      <c r="O28" s="61">
        <v>0.5</v>
      </c>
      <c r="P28" s="61">
        <v>0.5</v>
      </c>
      <c r="Q28" s="61">
        <v>0.5</v>
      </c>
      <c r="R28" s="61">
        <v>0.5</v>
      </c>
      <c r="S28" s="61">
        <v>0.5</v>
      </c>
      <c r="T28" s="61">
        <v>0.5</v>
      </c>
      <c r="U28" s="61">
        <v>0.5</v>
      </c>
      <c r="V28" s="61">
        <v>0.5</v>
      </c>
      <c r="W28" s="61">
        <v>0.5</v>
      </c>
      <c r="X28" s="61">
        <v>0.5</v>
      </c>
      <c r="Y28" s="61">
        <v>0.5</v>
      </c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</row>
    <row r="29" spans="1:53">
      <c r="A29" s="61">
        <v>28</v>
      </c>
      <c r="B29" s="31" t="str">
        <f>IF($D29=0,"",VLOOKUP($D29,'Project IO'!$B:$E,3,FALSE))</f>
        <v>Active</v>
      </c>
      <c r="C29" s="31" t="str">
        <f>IF($D29=0,"",VLOOKUP($D29,'Project IO'!$B:$E,4,FALSE))</f>
        <v>Active</v>
      </c>
      <c r="D29" s="62" t="str">
        <f t="shared" si="1"/>
        <v>Tumalo Ph1</v>
      </c>
      <c r="E29" s="62" t="str">
        <f>IF($H29=0,"",VLOOKUP($H29,정원!$D:$G,2,FALSE))</f>
        <v>Control Eng.</v>
      </c>
      <c r="F29" s="62" t="str">
        <f>IF($H29=0,"",VLOOKUP($H29,정원!$D:$G,3,FALSE))</f>
        <v>Electrical</v>
      </c>
      <c r="G29" s="62" t="str">
        <f>IF($H29=0,"",VLOOKUP($H29,정원!$D:$G,4,FALSE))</f>
        <v>Leader</v>
      </c>
      <c r="H29" s="61" t="s">
        <v>79</v>
      </c>
      <c r="I29" s="73">
        <v>46054</v>
      </c>
      <c r="J29" s="73">
        <f t="shared" si="2"/>
        <v>46264</v>
      </c>
      <c r="K29" s="61">
        <v>0.3</v>
      </c>
      <c r="L29" s="61">
        <v>0.3</v>
      </c>
      <c r="M29" s="61">
        <v>0.3</v>
      </c>
      <c r="N29" s="61">
        <v>0.2</v>
      </c>
      <c r="O29" s="61">
        <v>0.2</v>
      </c>
      <c r="P29" s="61">
        <v>0.2</v>
      </c>
      <c r="Q29" s="61">
        <v>0.2</v>
      </c>
      <c r="R29" s="61">
        <v>0.2</v>
      </c>
      <c r="S29" s="61">
        <v>0.2</v>
      </c>
      <c r="T29" s="61">
        <v>0.2</v>
      </c>
      <c r="U29" s="61">
        <v>0.2</v>
      </c>
      <c r="V29" s="61">
        <v>0.2</v>
      </c>
      <c r="W29" s="61">
        <v>0.2</v>
      </c>
      <c r="X29" s="61">
        <v>0.2</v>
      </c>
      <c r="Y29" s="61">
        <v>0.2</v>
      </c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</row>
    <row r="30" spans="1:53">
      <c r="A30" s="61">
        <v>29</v>
      </c>
      <c r="B30" s="31" t="str">
        <f>IF($D30=0,"",VLOOKUP($D30,'Project IO'!$B:$E,3,FALSE))</f>
        <v>Active</v>
      </c>
      <c r="C30" s="31" t="str">
        <f>IF($D30=0,"",VLOOKUP($D30,'Project IO'!$B:$E,4,FALSE))</f>
        <v>Active</v>
      </c>
      <c r="D30" s="62" t="str">
        <f t="shared" si="1"/>
        <v>Tumalo Ph1</v>
      </c>
      <c r="E30" s="62" t="str">
        <f>IF($H30=0,"",VLOOKUP($H30,정원!$D:$G,2,FALSE))</f>
        <v>Control Eng.</v>
      </c>
      <c r="F30" s="62" t="str">
        <f>IF($H30=0,"",VLOOKUP($H30,정원!$D:$G,3,FALSE))</f>
        <v>Electrical</v>
      </c>
      <c r="G30" s="62" t="str">
        <f>IF($H30=0,"",VLOOKUP($H30,정원!$D:$G,4,FALSE))</f>
        <v>Electrical engineer</v>
      </c>
      <c r="H30" s="68" t="s">
        <v>299</v>
      </c>
      <c r="I30" s="73">
        <v>46054</v>
      </c>
      <c r="J30" s="73">
        <f t="shared" si="2"/>
        <v>46264</v>
      </c>
      <c r="K30" s="61">
        <v>1</v>
      </c>
      <c r="L30" s="61">
        <v>1</v>
      </c>
      <c r="M30" s="61">
        <v>0.5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 spans="1:53">
      <c r="A31" s="61">
        <v>30</v>
      </c>
      <c r="B31" s="31" t="str">
        <f>IF($D31=0,"",VLOOKUP($D31,'Project IO'!$B:$E,3,FALSE))</f>
        <v>Active</v>
      </c>
      <c r="C31" s="31" t="str">
        <f>IF($D31=0,"",VLOOKUP($D31,'Project IO'!$B:$E,4,FALSE))</f>
        <v>Active</v>
      </c>
      <c r="D31" s="62" t="str">
        <f t="shared" si="1"/>
        <v>Tumalo Ph1</v>
      </c>
      <c r="E31" s="62" t="str">
        <f>IF($H31=0,"",VLOOKUP($H31,정원!$D:$G,2,FALSE))</f>
        <v>Control Eng.</v>
      </c>
      <c r="F31" s="62" t="str">
        <f>IF($H31=0,"",VLOOKUP($H31,정원!$D:$G,3,FALSE))</f>
        <v>Electrical</v>
      </c>
      <c r="G31" s="62" t="str">
        <f>IF($H31=0,"",VLOOKUP($H31,정원!$D:$G,4,FALSE))</f>
        <v>Electrical engineer</v>
      </c>
      <c r="H31" s="68" t="s">
        <v>300</v>
      </c>
      <c r="I31" s="73">
        <v>46054</v>
      </c>
      <c r="J31" s="73">
        <f t="shared" si="2"/>
        <v>46264</v>
      </c>
      <c r="K31" s="61">
        <v>1</v>
      </c>
      <c r="L31" s="61">
        <v>1</v>
      </c>
      <c r="M31" s="61">
        <v>1</v>
      </c>
      <c r="N31" s="61">
        <v>1</v>
      </c>
      <c r="O31" s="61">
        <v>1</v>
      </c>
      <c r="P31" s="61">
        <v>1</v>
      </c>
      <c r="Q31" s="61">
        <v>1</v>
      </c>
      <c r="R31" s="61">
        <v>1</v>
      </c>
      <c r="S31" s="61">
        <v>1</v>
      </c>
      <c r="T31" s="61">
        <v>1</v>
      </c>
      <c r="U31" s="61">
        <v>1</v>
      </c>
      <c r="V31" s="61">
        <v>1</v>
      </c>
      <c r="W31" s="61">
        <v>1</v>
      </c>
      <c r="X31" s="61">
        <v>1</v>
      </c>
      <c r="Y31" s="61">
        <v>1</v>
      </c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 spans="1:53">
      <c r="A32" s="61">
        <v>31</v>
      </c>
      <c r="B32" s="31" t="str">
        <f>IF($D32=0,"",VLOOKUP($D32,'Project IO'!$B:$E,3,FALSE))</f>
        <v>Active</v>
      </c>
      <c r="C32" s="31" t="str">
        <f>IF($D32=0,"",VLOOKUP($D32,'Project IO'!$B:$E,4,FALSE))</f>
        <v>Active</v>
      </c>
      <c r="D32" s="62" t="str">
        <f t="shared" si="1"/>
        <v>Tumalo Ph1</v>
      </c>
      <c r="E32" s="62" t="str">
        <f>IF($H32=0,"",VLOOKUP($H32,정원!$D:$G,2,FALSE))</f>
        <v>Control Eng.</v>
      </c>
      <c r="F32" s="62" t="str">
        <f>IF($H32=0,"",VLOOKUP($H32,정원!$D:$G,3,FALSE))</f>
        <v>Electrical</v>
      </c>
      <c r="G32" s="62" t="str">
        <f>IF($H32=0,"",VLOOKUP($H32,정원!$D:$G,4,FALSE))</f>
        <v>Electrical engineer</v>
      </c>
      <c r="H32" s="68" t="s">
        <v>271</v>
      </c>
      <c r="I32" s="73">
        <v>46054</v>
      </c>
      <c r="J32" s="73">
        <f t="shared" si="2"/>
        <v>46264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 spans="1:53">
      <c r="A33" s="61">
        <v>32</v>
      </c>
      <c r="B33" s="31" t="str">
        <f>IF($D33=0,"",VLOOKUP($D33,'Project IO'!$B:$E,3,FALSE))</f>
        <v>Active</v>
      </c>
      <c r="C33" s="31" t="str">
        <f>IF($D33=0,"",VLOOKUP($D33,'Project IO'!$B:$E,4,FALSE))</f>
        <v>Active</v>
      </c>
      <c r="D33" s="62" t="str">
        <f t="shared" si="1"/>
        <v>Tumalo Ph1</v>
      </c>
      <c r="E33" s="62">
        <f>IF($H33=0,"",VLOOKUP($H33,정원!$D:$G,2,FALSE))</f>
        <v>0</v>
      </c>
      <c r="F33" s="62">
        <f>IF($H33=0,"",VLOOKUP($H33,정원!$D:$G,3,FALSE))</f>
        <v>0</v>
      </c>
      <c r="G33" s="62">
        <f>IF($H33=0,"",VLOOKUP($H33,정원!$D:$G,4,FALSE))</f>
        <v>0</v>
      </c>
      <c r="H33" s="66" t="s">
        <v>81</v>
      </c>
      <c r="I33" s="73">
        <v>46054</v>
      </c>
      <c r="J33" s="73">
        <f t="shared" si="2"/>
        <v>46264</v>
      </c>
      <c r="K33" s="61"/>
      <c r="L33" s="61"/>
      <c r="M33" s="61" t="s">
        <v>303</v>
      </c>
      <c r="N33" s="61"/>
      <c r="O33" s="61"/>
      <c r="P33" s="61"/>
      <c r="Q33" s="61"/>
      <c r="R33" s="61"/>
      <c r="S33" s="67" t="s">
        <v>64</v>
      </c>
      <c r="T33" s="61"/>
      <c r="U33" s="61"/>
      <c r="V33" s="61"/>
      <c r="W33" s="61"/>
      <c r="Y33" s="67" t="s">
        <v>65</v>
      </c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</sheetData>
  <phoneticPr fontId="1" type="noConversion"/>
  <dataValidations count="2">
    <dataValidation type="list" allowBlank="1" showInputMessage="1" showErrorMessage="1" sqref="E34:E1048576" xr:uid="{DEC8FA98-8BFE-4A7B-A772-E470174471E0}">
      <formula1>"Engineering, PMO, System engineering, Control Engineering"</formula1>
    </dataValidation>
    <dataValidation type="list" allowBlank="1" showInputMessage="1" showErrorMessage="1" sqref="F34:F1048576" xr:uid="{177C07D2-2345-4A14-96D8-91FE349E4744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A9E6216-9803-4657-A951-C4D58B97E41A}">
          <x14:formula1>
            <xm:f>'Project IO'!$B$4:$B$101</xm:f>
          </x14:formula1>
          <xm:sqref>A1</xm:sqref>
        </x14:dataValidation>
        <x14:dataValidation type="list" allowBlank="1" showInputMessage="1" showErrorMessage="1" xr:uid="{C54FA1C0-2BBE-40B0-A31F-F5E340D41A0E}">
          <x14:formula1>
            <xm:f>정원!$D:$D</xm:f>
          </x14:formula1>
          <xm:sqref>H3:H1048576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5224-24BB-4C58-99CB-C0564A9B71E6}">
  <sheetPr>
    <tabColor theme="6" tint="0.79998168889431442"/>
  </sheetPr>
  <dimension ref="A1:BA17"/>
  <sheetViews>
    <sheetView workbookViewId="0">
      <pane ySplit="2" topLeftCell="A16" activePane="bottomLeft" state="frozen"/>
      <selection pane="bottomLeft" activeCell="I16" sqref="I16"/>
      <selection activeCell="C6" sqref="C6"/>
    </sheetView>
  </sheetViews>
  <sheetFormatPr defaultColWidth="9" defaultRowHeight="16.5"/>
  <cols>
    <col min="1" max="1" width="13.125" style="51" bestFit="1" customWidth="1"/>
    <col min="2" max="2" width="8.5" style="51" bestFit="1" customWidth="1"/>
    <col min="3" max="4" width="14.625" style="51" customWidth="1"/>
    <col min="5" max="5" width="13.625" style="51" bestFit="1" customWidth="1"/>
    <col min="6" max="6" width="20.125" style="51" bestFit="1" customWidth="1"/>
    <col min="7" max="7" width="18.125" style="51" bestFit="1" customWidth="1"/>
    <col min="8" max="8" width="10.625" style="51" bestFit="1" customWidth="1"/>
    <col min="9" max="16384" width="9" style="51"/>
  </cols>
  <sheetData>
    <row r="1" spans="1:53" ht="27" customHeight="1">
      <c r="A1" s="48" t="s">
        <v>140</v>
      </c>
      <c r="B1" s="49">
        <f>IF($A$1=0,"",VLOOKUP(A1,'Project IO'!$B$4:$C$101,2,FALSE))</f>
        <v>406403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BA1" si="0">SUM(K3:K1048576)</f>
        <v>0.5</v>
      </c>
      <c r="L1" s="51">
        <f t="shared" si="0"/>
        <v>0.5</v>
      </c>
      <c r="M1" s="51">
        <f t="shared" si="0"/>
        <v>0.5</v>
      </c>
      <c r="N1" s="51">
        <f t="shared" si="0"/>
        <v>1.3</v>
      </c>
      <c r="O1" s="51">
        <f t="shared" si="0"/>
        <v>5.3</v>
      </c>
      <c r="P1" s="51">
        <f t="shared" si="0"/>
        <v>5.0999999999999996</v>
      </c>
      <c r="Q1" s="51">
        <f t="shared" si="0"/>
        <v>4.5999999999999996</v>
      </c>
      <c r="R1" s="51">
        <f t="shared" si="0"/>
        <v>0.4</v>
      </c>
      <c r="S1" s="51">
        <f t="shared" si="0"/>
        <v>0.4</v>
      </c>
      <c r="T1" s="51">
        <f t="shared" si="0"/>
        <v>0.4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 s="60" customFormat="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57" t="s">
        <v>86</v>
      </c>
      <c r="I2" s="58" t="s">
        <v>64</v>
      </c>
      <c r="J2" s="58" t="s">
        <v>65</v>
      </c>
      <c r="K2" s="59">
        <v>45833</v>
      </c>
      <c r="L2" s="59">
        <v>45863</v>
      </c>
      <c r="M2" s="59">
        <v>45894</v>
      </c>
      <c r="N2" s="59">
        <v>45925</v>
      </c>
      <c r="O2" s="59">
        <v>45955</v>
      </c>
      <c r="P2" s="59">
        <v>45986</v>
      </c>
      <c r="Q2" s="59">
        <v>46016</v>
      </c>
      <c r="R2" s="59">
        <v>45683</v>
      </c>
      <c r="S2" s="59">
        <v>45714</v>
      </c>
      <c r="T2" s="59">
        <v>45742</v>
      </c>
      <c r="U2" s="59">
        <v>45773</v>
      </c>
      <c r="V2" s="59">
        <v>45803</v>
      </c>
      <c r="W2" s="59">
        <v>45834</v>
      </c>
      <c r="X2" s="59">
        <v>45864</v>
      </c>
      <c r="Y2" s="59">
        <v>45895</v>
      </c>
      <c r="Z2" s="59">
        <v>45926</v>
      </c>
      <c r="AA2" s="59">
        <v>45956</v>
      </c>
      <c r="AB2" s="59">
        <v>45987</v>
      </c>
      <c r="AC2" s="59">
        <v>46017</v>
      </c>
      <c r="AD2" s="59">
        <v>45684</v>
      </c>
      <c r="AE2" s="59">
        <v>45715</v>
      </c>
      <c r="AF2" s="59">
        <v>45743</v>
      </c>
      <c r="AG2" s="59">
        <v>45774</v>
      </c>
      <c r="AH2" s="59">
        <v>45804</v>
      </c>
      <c r="AI2" s="59">
        <v>45835</v>
      </c>
      <c r="AJ2" s="59">
        <v>45865</v>
      </c>
      <c r="AK2" s="59">
        <v>45896</v>
      </c>
      <c r="AL2" s="59">
        <v>45927</v>
      </c>
      <c r="AM2" s="59">
        <v>45957</v>
      </c>
      <c r="AN2" s="59">
        <v>45988</v>
      </c>
      <c r="AO2" s="59">
        <v>46018</v>
      </c>
      <c r="AP2" s="59">
        <v>45685</v>
      </c>
      <c r="AQ2" s="59">
        <v>45716</v>
      </c>
      <c r="AR2" s="59">
        <v>45744</v>
      </c>
      <c r="AS2" s="59">
        <v>45775</v>
      </c>
      <c r="AT2" s="59">
        <v>45805</v>
      </c>
      <c r="AU2" s="59">
        <v>45836</v>
      </c>
      <c r="AV2" s="59">
        <v>45866</v>
      </c>
      <c r="AW2" s="59">
        <v>45897</v>
      </c>
      <c r="AX2" s="59">
        <v>45928</v>
      </c>
      <c r="AY2" s="59">
        <v>45958</v>
      </c>
      <c r="AZ2" s="59">
        <v>45989</v>
      </c>
      <c r="BA2" s="59">
        <v>46019</v>
      </c>
    </row>
    <row r="3" spans="1:53">
      <c r="A3" s="61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62" t="str">
        <f>$A$1</f>
        <v>HRS Integrates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67</v>
      </c>
      <c r="I3" s="73">
        <v>46111</v>
      </c>
      <c r="J3" s="73">
        <v>46111</v>
      </c>
      <c r="K3" s="64">
        <v>0.1</v>
      </c>
      <c r="L3" s="64">
        <v>0.1</v>
      </c>
      <c r="M3" s="64">
        <v>0.1</v>
      </c>
      <c r="N3" s="64">
        <v>0.1</v>
      </c>
      <c r="O3" s="64">
        <v>0.1</v>
      </c>
      <c r="P3" s="64">
        <v>0.1</v>
      </c>
      <c r="Q3" s="64">
        <v>0.3</v>
      </c>
      <c r="R3" s="64">
        <v>0.1</v>
      </c>
      <c r="S3" s="64">
        <v>0.1</v>
      </c>
      <c r="T3" s="64">
        <v>0.1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62" t="str">
        <f t="shared" ref="D4:D17" si="1">$A$1</f>
        <v>HRS Integrates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242</v>
      </c>
      <c r="I4" s="73">
        <v>46111</v>
      </c>
      <c r="J4" s="73">
        <v>46111</v>
      </c>
      <c r="K4" s="64">
        <v>0.1</v>
      </c>
      <c r="L4" s="64">
        <v>0.1</v>
      </c>
      <c r="M4" s="64">
        <v>0.1</v>
      </c>
      <c r="N4" s="64">
        <v>0.1</v>
      </c>
      <c r="O4" s="64">
        <v>0.1</v>
      </c>
      <c r="P4" s="139">
        <v>0.9</v>
      </c>
      <c r="Q4" s="64">
        <v>0.1</v>
      </c>
      <c r="R4" s="64">
        <v>0.1</v>
      </c>
      <c r="S4" s="64">
        <v>0.1</v>
      </c>
      <c r="T4" s="64">
        <v>0.1</v>
      </c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62" t="str">
        <f t="shared" si="1"/>
        <v>HRS Integrates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69</v>
      </c>
      <c r="I5" s="73">
        <v>46111</v>
      </c>
      <c r="J5" s="73">
        <v>46111</v>
      </c>
      <c r="K5" s="64">
        <v>0.1</v>
      </c>
      <c r="L5" s="64">
        <v>0.1</v>
      </c>
      <c r="M5" s="64">
        <v>0.1</v>
      </c>
      <c r="N5" s="64">
        <v>0.1</v>
      </c>
      <c r="O5" s="64">
        <v>0.1</v>
      </c>
      <c r="P5" s="64">
        <v>0.1</v>
      </c>
      <c r="Q5" s="64">
        <v>0.3</v>
      </c>
      <c r="R5" s="64">
        <v>0.1</v>
      </c>
      <c r="S5" s="64">
        <v>0.1</v>
      </c>
      <c r="T5" s="64">
        <v>0.1</v>
      </c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62" t="str">
        <f t="shared" si="1"/>
        <v>HRS Integrates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Tech Lead</v>
      </c>
      <c r="H6" s="61" t="s">
        <v>194</v>
      </c>
      <c r="I6" s="73">
        <v>46111</v>
      </c>
      <c r="J6" s="73">
        <v>46111</v>
      </c>
      <c r="K6" s="64">
        <v>0.1</v>
      </c>
      <c r="L6" s="64">
        <v>0.1</v>
      </c>
      <c r="M6" s="64">
        <v>0.1</v>
      </c>
      <c r="N6" s="64"/>
      <c r="O6" s="64"/>
      <c r="P6" s="64"/>
      <c r="Q6" s="64"/>
      <c r="R6" s="64"/>
      <c r="S6" s="64"/>
      <c r="T6" s="64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62" t="str">
        <f t="shared" si="1"/>
        <v>HRS Integrates</v>
      </c>
      <c r="E7" s="62" t="str">
        <f>IF($H7=0,"",VLOOKUP($H7,정원!$D:$G,2,FALSE))</f>
        <v>NPI IS</v>
      </c>
      <c r="F7" s="62" t="str">
        <f>IF($H7=0,"",VLOOKUP($H7,정원!$D:$G,3,FALSE))</f>
        <v>System 3</v>
      </c>
      <c r="G7" s="62" t="str">
        <f>IF($H7=0,"",VLOOKUP($H7,정원!$D:$G,4,FALSE))</f>
        <v>Tech Lead</v>
      </c>
      <c r="H7" s="61" t="s">
        <v>203</v>
      </c>
      <c r="I7" s="73">
        <v>46111</v>
      </c>
      <c r="J7" s="73">
        <v>46111</v>
      </c>
      <c r="K7" s="64">
        <v>0.1</v>
      </c>
      <c r="L7" s="64">
        <v>0.1</v>
      </c>
      <c r="M7" s="64">
        <v>0.1</v>
      </c>
      <c r="N7" s="64">
        <v>0.1</v>
      </c>
      <c r="O7" s="64">
        <v>0.1</v>
      </c>
      <c r="P7" s="64">
        <v>0.1</v>
      </c>
      <c r="Q7" s="64">
        <v>0.1</v>
      </c>
      <c r="R7" s="64">
        <v>0.1</v>
      </c>
      <c r="S7" s="64">
        <v>0.1</v>
      </c>
      <c r="T7" s="64">
        <v>0.1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62" t="str">
        <f t="shared" si="1"/>
        <v>HRS Integrates</v>
      </c>
      <c r="E8" s="62" t="str">
        <f>IF($H8=0,"",VLOOKUP($H8,정원!$D:$G,2,FALSE))</f>
        <v>NPI IS</v>
      </c>
      <c r="F8" s="62" t="str">
        <f>IF($H8=0,"",VLOOKUP($H8,정원!$D:$G,3,FALSE))</f>
        <v>System 2</v>
      </c>
      <c r="G8" s="62" t="str">
        <f>IF($H8=0,"",VLOOKUP($H8,정원!$D:$G,4,FALSE))</f>
        <v>Tech Lead</v>
      </c>
      <c r="H8" s="61" t="s">
        <v>195</v>
      </c>
      <c r="I8" s="73">
        <v>46111</v>
      </c>
      <c r="J8" s="73">
        <v>46111</v>
      </c>
      <c r="K8" s="64"/>
      <c r="L8" s="64"/>
      <c r="M8" s="64"/>
      <c r="N8" s="64">
        <v>0.3</v>
      </c>
      <c r="O8" s="64">
        <v>0.9</v>
      </c>
      <c r="P8" s="64">
        <v>0.9</v>
      </c>
      <c r="Q8" s="64">
        <v>0.5</v>
      </c>
      <c r="R8" s="64"/>
      <c r="S8" s="64"/>
      <c r="T8" s="64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62" t="str">
        <f t="shared" si="1"/>
        <v>HRS Integrates</v>
      </c>
      <c r="E9" s="62" t="str">
        <f>IF($H9=0,"",VLOOKUP($H9,정원!$D:$G,2,FALSE))</f>
        <v>NPI IS</v>
      </c>
      <c r="F9" s="62" t="str">
        <f>IF($H9=0,"",VLOOKUP($H9,정원!$D:$G,3,FALSE))</f>
        <v>System 2</v>
      </c>
      <c r="G9" s="62" t="str">
        <f>IF($H9=0,"",VLOOKUP($H9,정원!$D:$G,4,FALSE))</f>
        <v>Service engineer</v>
      </c>
      <c r="H9" s="61" t="s">
        <v>189</v>
      </c>
      <c r="I9" s="73">
        <v>46111</v>
      </c>
      <c r="J9" s="73">
        <v>46111</v>
      </c>
      <c r="K9" s="64"/>
      <c r="L9" s="64"/>
      <c r="M9" s="64"/>
      <c r="N9" s="64">
        <v>0.3</v>
      </c>
      <c r="O9" s="64">
        <v>1</v>
      </c>
      <c r="P9" s="64">
        <v>0.5</v>
      </c>
      <c r="Q9" s="148">
        <v>1</v>
      </c>
      <c r="R9" s="64"/>
      <c r="S9" s="64"/>
      <c r="T9" s="64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62" t="str">
        <f t="shared" ref="D10:D15" si="2">$A$1</f>
        <v>HRS Integrates</v>
      </c>
      <c r="E10" s="62" t="str">
        <f>IF($H10=0,"",VLOOKUP($H10,정원!$D:$G,2,FALSE))</f>
        <v>NPI IS</v>
      </c>
      <c r="F10" s="62" t="str">
        <f>IF($H10=0,"",VLOOKUP($H10,정원!$D:$G,3,FALSE))</f>
        <v>System 2</v>
      </c>
      <c r="G10" s="62" t="str">
        <f>IF($H10=0,"",VLOOKUP($H10,정원!$D:$G,4,FALSE))</f>
        <v>System engineer</v>
      </c>
      <c r="H10" s="61" t="s">
        <v>192</v>
      </c>
      <c r="I10" s="73"/>
      <c r="J10" s="73"/>
      <c r="K10" s="64"/>
      <c r="L10" s="64"/>
      <c r="M10" s="64"/>
      <c r="N10" s="64"/>
      <c r="O10" s="64">
        <v>1</v>
      </c>
      <c r="P10" s="64">
        <v>0.5</v>
      </c>
      <c r="Q10" s="148">
        <v>1</v>
      </c>
      <c r="R10" s="64"/>
      <c r="S10" s="64"/>
      <c r="T10" s="64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62" t="str">
        <f t="shared" si="2"/>
        <v>HRS Integrates</v>
      </c>
      <c r="E11" s="62" t="str">
        <f>IF($H11=0,"",VLOOKUP($H11,정원!$D:$G,2,FALSE))</f>
        <v>NPI IS</v>
      </c>
      <c r="F11" s="62" t="str">
        <f>IF($H11=0,"",VLOOKUP($H11,정원!$D:$G,3,FALSE))</f>
        <v>Mechanical</v>
      </c>
      <c r="G11" s="62" t="str">
        <f>IF($H11=0,"",VLOOKUP($H11,정원!$D:$G,4,FALSE))</f>
        <v>Mechanical engineer</v>
      </c>
      <c r="H11" s="61" t="s">
        <v>265</v>
      </c>
      <c r="I11" s="73">
        <v>46111</v>
      </c>
      <c r="J11" s="73">
        <v>46111</v>
      </c>
      <c r="K11" s="64"/>
      <c r="L11" s="64"/>
      <c r="M11" s="64"/>
      <c r="N11" s="64">
        <v>0.3</v>
      </c>
      <c r="O11" s="140">
        <v>0.5</v>
      </c>
      <c r="P11" s="140">
        <v>0.5</v>
      </c>
      <c r="Q11" s="64"/>
      <c r="R11" s="64"/>
      <c r="S11" s="64"/>
      <c r="T11" s="64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62" t="str">
        <f t="shared" si="2"/>
        <v>HRS Integrates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Mechanical engineer</v>
      </c>
      <c r="H12" s="61" t="s">
        <v>263</v>
      </c>
      <c r="I12" s="73">
        <v>46111</v>
      </c>
      <c r="J12" s="73">
        <v>46111</v>
      </c>
      <c r="K12" s="64"/>
      <c r="L12" s="64"/>
      <c r="M12" s="64"/>
      <c r="N12" s="64"/>
      <c r="O12" s="140"/>
      <c r="P12" s="140"/>
      <c r="Q12" s="148">
        <v>1</v>
      </c>
      <c r="R12" s="64"/>
      <c r="S12" s="64"/>
      <c r="T12" s="64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62" t="str">
        <f t="shared" si="2"/>
        <v>HRS Integrates</v>
      </c>
      <c r="E13" s="62" t="str">
        <f>IF($H13=0,"",VLOOKUP($H13,정원!$D:$G,2,FALSE))</f>
        <v>Control Eng.</v>
      </c>
      <c r="F13" s="62" t="str">
        <f>IF($H13=0,"",VLOOKUP($H13,정원!$D:$G,3,FALSE))</f>
        <v>Electrical</v>
      </c>
      <c r="G13" s="62" t="str">
        <f>IF($H13=0,"",VLOOKUP($H13,정원!$D:$G,4,FALSE))</f>
        <v>Electrical engineer</v>
      </c>
      <c r="H13" s="61" t="s">
        <v>274</v>
      </c>
      <c r="I13" s="73">
        <v>46111</v>
      </c>
      <c r="J13" s="73">
        <v>46111</v>
      </c>
      <c r="K13" s="64"/>
      <c r="L13" s="64"/>
      <c r="M13" s="64"/>
      <c r="N13" s="64"/>
      <c r="O13" s="140">
        <v>0.5</v>
      </c>
      <c r="P13" s="140">
        <v>0.5</v>
      </c>
      <c r="Q13" s="64"/>
      <c r="R13" s="64"/>
      <c r="S13" s="64"/>
      <c r="T13" s="64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62" t="str">
        <f t="shared" si="2"/>
        <v>HRS Integrates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SW test engineer</v>
      </c>
      <c r="H14" s="61" t="s">
        <v>178</v>
      </c>
      <c r="I14" s="73">
        <v>46111</v>
      </c>
      <c r="J14" s="73">
        <v>46111</v>
      </c>
      <c r="K14" s="64"/>
      <c r="L14" s="64"/>
      <c r="M14" s="64"/>
      <c r="N14" s="64"/>
      <c r="O14" s="140">
        <v>0.5</v>
      </c>
      <c r="P14" s="140">
        <v>0.5</v>
      </c>
      <c r="Q14" s="64"/>
      <c r="R14" s="64"/>
      <c r="S14" s="64"/>
      <c r="T14" s="64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>
      <c r="A15" s="61">
        <v>14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62" t="str">
        <f t="shared" si="2"/>
        <v>HRS Integrates</v>
      </c>
      <c r="E15" s="62" t="str">
        <f>IF($H15=0,"",VLOOKUP($H15,정원!$D:$G,2,FALSE))</f>
        <v>NPI IS</v>
      </c>
      <c r="F15" s="62" t="str">
        <f>IF($H15=0,"",VLOOKUP($H15,정원!$D:$G,3,FALSE))</f>
        <v>System 2</v>
      </c>
      <c r="G15" s="62" t="str">
        <f>IF($H15=0,"",VLOOKUP($H15,정원!$D:$G,4,FALSE))</f>
        <v>System engineer</v>
      </c>
      <c r="H15" s="139" t="s">
        <v>190</v>
      </c>
      <c r="I15" s="73"/>
      <c r="J15" s="73"/>
      <c r="K15" s="64"/>
      <c r="L15" s="64"/>
      <c r="M15" s="64"/>
      <c r="N15" s="64"/>
      <c r="O15" s="139">
        <v>0.5</v>
      </c>
      <c r="P15" s="139">
        <v>0.5</v>
      </c>
      <c r="Q15" s="64"/>
      <c r="R15" s="64"/>
      <c r="S15" s="64"/>
      <c r="T15" s="64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>
      <c r="A16" s="61">
        <v>15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62" t="str">
        <f t="shared" si="1"/>
        <v>HRS Integrates</v>
      </c>
      <c r="E16" s="62" t="str">
        <f>IF($H16=0,"",VLOOKUP($H16,정원!$D:$G,2,FALSE))</f>
        <v>PMO</v>
      </c>
      <c r="F16" s="62" t="str">
        <f>IF($H16=0,"",VLOOKUP($H16,정원!$D:$G,3,FALSE))</f>
        <v>PM</v>
      </c>
      <c r="G16" s="62" t="str">
        <f>IF($H16=0,"",VLOOKUP($H16,정원!$D:$G,4,FALSE))</f>
        <v>PM</v>
      </c>
      <c r="H16" s="61" t="s">
        <v>245</v>
      </c>
      <c r="I16" s="73"/>
      <c r="J16" s="73"/>
      <c r="K16" s="64"/>
      <c r="L16" s="64"/>
      <c r="M16" s="64"/>
      <c r="N16" s="64"/>
      <c r="O16" s="66"/>
      <c r="P16" s="66"/>
      <c r="Q16" s="64">
        <v>0.3</v>
      </c>
      <c r="R16" s="64"/>
      <c r="S16" s="64"/>
      <c r="T16" s="64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16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62" t="str">
        <f t="shared" si="1"/>
        <v>HRS Integrates</v>
      </c>
      <c r="E17" s="62">
        <f>IF($H17=0,"",VLOOKUP($H17,정원!$D:$G,2,FALSE))</f>
        <v>0</v>
      </c>
      <c r="F17" s="62">
        <f>IF($H17=0,"",VLOOKUP($H17,정원!$D:$G,3,FALSE))</f>
        <v>0</v>
      </c>
      <c r="G17" s="62">
        <f>IF($H17=0,"",VLOOKUP($H17,정원!$D:$G,4,FALSE))</f>
        <v>0</v>
      </c>
      <c r="H17" s="66" t="s">
        <v>81</v>
      </c>
      <c r="I17" s="73">
        <v>46111</v>
      </c>
      <c r="J17" s="73">
        <v>46111</v>
      </c>
      <c r="K17" s="61" t="s">
        <v>301</v>
      </c>
      <c r="L17" s="61"/>
      <c r="M17" s="61"/>
      <c r="N17" s="61"/>
      <c r="O17" s="61"/>
      <c r="P17" s="61"/>
      <c r="Q17" s="61"/>
      <c r="R17" s="61"/>
      <c r="S17" s="61"/>
      <c r="T17" s="61" t="s">
        <v>64</v>
      </c>
      <c r="U17" s="61"/>
      <c r="W17" s="61"/>
      <c r="X17" s="61"/>
      <c r="Y17" s="61"/>
      <c r="Z17" s="61"/>
      <c r="AA17" s="61"/>
      <c r="AB17" s="61" t="s">
        <v>64</v>
      </c>
      <c r="AC17" s="61"/>
      <c r="AD17" s="61"/>
      <c r="AE17" s="61"/>
      <c r="AF17" s="61" t="s">
        <v>65</v>
      </c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</sheetData>
  <phoneticPr fontId="1" type="noConversion"/>
  <dataValidations count="2">
    <dataValidation type="list" allowBlank="1" showInputMessage="1" showErrorMessage="1" sqref="E18:E1048576" xr:uid="{E64AB854-88E5-4533-847E-D50F68194956}">
      <formula1>"Engineering, PMO, System engineering, Control Engineering"</formula1>
    </dataValidation>
    <dataValidation type="list" allowBlank="1" showInputMessage="1" showErrorMessage="1" sqref="F18:F1048576" xr:uid="{27A0DA64-E592-4059-A48B-C37CCCCDC968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06AD5A-B5E4-4E55-AEAC-20B75E36CE84}">
          <x14:formula1>
            <xm:f>'Project IO'!$B$4:$B$101</xm:f>
          </x14:formula1>
          <xm:sqref>A1</xm:sqref>
        </x14:dataValidation>
        <x14:dataValidation type="list" allowBlank="1" showInputMessage="1" showErrorMessage="1" xr:uid="{78087485-ED3E-41CF-8D33-D1290BB11360}">
          <x14:formula1>
            <xm:f>정원!$D:$D</xm:f>
          </x14:formula1>
          <xm:sqref>H3:H1048576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48B5-F276-4AF2-89D0-E2AD73A2388E}">
  <sheetPr>
    <tabColor theme="6" tint="0.79998168889431442"/>
  </sheetPr>
  <dimension ref="A1:BA1048557"/>
  <sheetViews>
    <sheetView topLeftCell="F1" zoomScaleNormal="100" workbookViewId="0">
      <selection activeCell="S26" sqref="S26"/>
    </sheetView>
  </sheetViews>
  <sheetFormatPr defaultRowHeight="16.5"/>
  <cols>
    <col min="1" max="1" width="11.5" customWidth="1"/>
    <col min="2" max="2" width="7.625" customWidth="1"/>
    <col min="3" max="3" width="13.125" customWidth="1"/>
    <col min="4" max="4" width="14.625" customWidth="1"/>
    <col min="5" max="5" width="17.125" customWidth="1"/>
    <col min="6" max="7" width="17.125" style="16" customWidth="1"/>
    <col min="8" max="8" width="19.125" bestFit="1" customWidth="1"/>
    <col min="9" max="9" width="10.125" bestFit="1" customWidth="1"/>
    <col min="11" max="15" width="0" hidden="1" customWidth="1"/>
    <col min="18" max="18" width="16.125" bestFit="1" customWidth="1"/>
  </cols>
  <sheetData>
    <row r="1" spans="1:53" s="16" customFormat="1" ht="27" customHeight="1">
      <c r="A1" s="143" t="s">
        <v>149</v>
      </c>
      <c r="B1" s="90" t="str">
        <f>IF($A$1=0,"",VLOOKUP(A1,'Project IO'!$B$4:$C$101,2,FALSE))</f>
        <v>TBC</v>
      </c>
      <c r="C1" s="90"/>
      <c r="D1" s="144" t="s">
        <v>53</v>
      </c>
      <c r="E1" t="s">
        <v>54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55</v>
      </c>
      <c r="K1" s="16">
        <f t="shared" ref="K1:BA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0</v>
      </c>
      <c r="P1" s="16">
        <f t="shared" si="0"/>
        <v>0</v>
      </c>
      <c r="Q1" s="16">
        <f t="shared" si="0"/>
        <v>2.2000000000000002</v>
      </c>
      <c r="R1" s="16">
        <f>SUM(R3:R29)</f>
        <v>12.699999999999998</v>
      </c>
      <c r="S1" s="16">
        <f t="shared" si="0"/>
        <v>12.199999999999998</v>
      </c>
      <c r="T1" s="16">
        <f t="shared" si="0"/>
        <v>12.199999999999998</v>
      </c>
      <c r="U1" s="16">
        <f t="shared" si="0"/>
        <v>12.699999999999998</v>
      </c>
      <c r="V1" s="16">
        <f t="shared" si="0"/>
        <v>12.699999999999998</v>
      </c>
      <c r="W1" s="16">
        <f t="shared" si="0"/>
        <v>12.699999999999998</v>
      </c>
      <c r="X1" s="16">
        <f t="shared" si="0"/>
        <v>12.699999999999998</v>
      </c>
      <c r="Y1" s="16">
        <f t="shared" si="0"/>
        <v>13.699999999999998</v>
      </c>
      <c r="Z1" s="16">
        <f t="shared" si="0"/>
        <v>13.699999999999998</v>
      </c>
      <c r="AA1" s="16">
        <f t="shared" si="0"/>
        <v>13.699999999999998</v>
      </c>
      <c r="AB1" s="16">
        <f t="shared" si="0"/>
        <v>13.699999999999998</v>
      </c>
      <c r="AC1" s="16">
        <f t="shared" si="0"/>
        <v>13.699999999999998</v>
      </c>
      <c r="AD1" s="16">
        <f t="shared" si="0"/>
        <v>13.199999999999998</v>
      </c>
      <c r="AE1" s="16">
        <f t="shared" si="0"/>
        <v>13.199999999999998</v>
      </c>
      <c r="AF1" s="16">
        <f t="shared" si="0"/>
        <v>13.199999999999998</v>
      </c>
      <c r="AG1" s="16">
        <f t="shared" si="0"/>
        <v>13.199999999999998</v>
      </c>
      <c r="AH1" s="16">
        <f t="shared" si="0"/>
        <v>13.199999999999998</v>
      </c>
      <c r="AI1" s="16">
        <f t="shared" si="0"/>
        <v>13.199999999999998</v>
      </c>
      <c r="AJ1" s="16">
        <f t="shared" si="0"/>
        <v>10.699999999999998</v>
      </c>
      <c r="AK1" s="16">
        <f t="shared" si="0"/>
        <v>10.699999999999998</v>
      </c>
      <c r="AL1" s="16">
        <f t="shared" si="0"/>
        <v>10.699999999999998</v>
      </c>
      <c r="AM1" s="16">
        <f t="shared" si="0"/>
        <v>10.699999999999998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ht="17.25" thickBot="1">
      <c r="A2" s="91" t="s">
        <v>56</v>
      </c>
      <c r="B2" s="92" t="s">
        <v>57</v>
      </c>
      <c r="C2" s="92" t="s">
        <v>58</v>
      </c>
      <c r="D2" s="92" t="s">
        <v>59</v>
      </c>
      <c r="E2" s="92" t="s">
        <v>60</v>
      </c>
      <c r="F2" s="92" t="s">
        <v>61</v>
      </c>
      <c r="G2" s="92" t="s">
        <v>62</v>
      </c>
      <c r="H2" s="32" t="s">
        <v>63</v>
      </c>
      <c r="I2" s="33" t="s">
        <v>64</v>
      </c>
      <c r="J2" s="33" t="s">
        <v>65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 ht="17.25" thickTop="1">
      <c r="A3" s="7">
        <v>1</v>
      </c>
      <c r="B3" s="31" t="str">
        <f>IF($D3=0,"",VLOOKUP($D3,'Project IO'!$B:$E,3,FALSE))</f>
        <v>Active</v>
      </c>
      <c r="C3" s="31" t="str">
        <f>IF($D3=0,"",VLOOKUP($D3,'Project IO'!$B:$E,4,FALSE))</f>
        <v>Active</v>
      </c>
      <c r="D3" s="31" t="str">
        <f t="shared" ref="D3:D25" si="1">$A$1</f>
        <v>HRS</v>
      </c>
      <c r="E3" s="31" t="str">
        <f>IF($H3=0,"",VLOOKUP($H3,정원!$D:$G,2,FALSE))</f>
        <v>Engineering</v>
      </c>
      <c r="F3" s="31" t="str">
        <f>IF($H3=0,"",VLOOKUP($H3,정원!$D:$G,3,FALSE))</f>
        <v>* Manager</v>
      </c>
      <c r="G3" s="31" t="str">
        <f>IF($H3=0,"",VLOOKUP($H3,정원!$D:$G,4,FALSE))</f>
        <v>* Eng Manager</v>
      </c>
      <c r="H3" s="7" t="s">
        <v>66</v>
      </c>
      <c r="I3" s="74"/>
      <c r="J3" s="74"/>
      <c r="Q3" s="7"/>
      <c r="R3" s="7">
        <v>0.1</v>
      </c>
      <c r="S3" s="7">
        <v>0.1</v>
      </c>
      <c r="T3" s="7">
        <v>0.1</v>
      </c>
      <c r="U3" s="7">
        <v>0.1</v>
      </c>
      <c r="V3" s="7">
        <v>0.1</v>
      </c>
      <c r="W3" s="7">
        <v>0.1</v>
      </c>
      <c r="X3" s="7">
        <v>0.1</v>
      </c>
      <c r="Y3" s="7">
        <v>0.1</v>
      </c>
      <c r="Z3" s="7">
        <v>0.1</v>
      </c>
      <c r="AA3" s="7">
        <v>0.1</v>
      </c>
      <c r="AB3" s="7">
        <v>0.1</v>
      </c>
      <c r="AC3" s="7">
        <v>0.1</v>
      </c>
      <c r="AD3" s="7">
        <v>0.1</v>
      </c>
      <c r="AE3" s="7">
        <v>0.1</v>
      </c>
      <c r="AF3" s="7">
        <v>0.1</v>
      </c>
      <c r="AG3" s="7">
        <v>0.1</v>
      </c>
      <c r="AH3" s="7">
        <v>0.1</v>
      </c>
      <c r="AI3" s="7">
        <v>0.1</v>
      </c>
      <c r="AJ3" s="7">
        <v>0.1</v>
      </c>
      <c r="AK3" s="7">
        <v>0.1</v>
      </c>
      <c r="AL3" s="7">
        <v>0.1</v>
      </c>
      <c r="AM3" s="7">
        <v>0.1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3">
      <c r="A4" s="7">
        <v>2</v>
      </c>
      <c r="B4" s="31" t="str">
        <f>IF($D4=0,"",VLOOKUP($D4,'Project IO'!$B:$E,3,FALSE))</f>
        <v>Active</v>
      </c>
      <c r="C4" s="31" t="str">
        <f>IF($D4=0,"",VLOOKUP($D4,'Project IO'!$B:$E,4,FALSE))</f>
        <v>Active</v>
      </c>
      <c r="D4" s="31" t="str">
        <f t="shared" si="1"/>
        <v>HRS</v>
      </c>
      <c r="E4" s="31" t="str">
        <f>IF($H4=0,"",VLOOKUP($H4,정원!$D:$G,2,FALSE))</f>
        <v>PMO</v>
      </c>
      <c r="F4" s="31" t="str">
        <f>IF($H4=0,"",VLOOKUP($H4,정원!$D:$G,3,FALSE))</f>
        <v>* Manager</v>
      </c>
      <c r="G4" s="31" t="str">
        <f>IF($H4=0,"",VLOOKUP($H4,정원!$D:$G,4,FALSE))</f>
        <v>* Manager</v>
      </c>
      <c r="H4" s="7" t="s">
        <v>67</v>
      </c>
      <c r="I4" s="74"/>
      <c r="J4" s="74"/>
      <c r="R4" s="7">
        <v>0.2</v>
      </c>
      <c r="S4" s="7">
        <v>0.2</v>
      </c>
      <c r="T4" s="7">
        <v>0.2</v>
      </c>
      <c r="U4" s="7">
        <v>0.1</v>
      </c>
      <c r="V4" s="7">
        <v>0.1</v>
      </c>
      <c r="W4" s="7">
        <v>0.1</v>
      </c>
      <c r="X4" s="7">
        <v>0.1</v>
      </c>
      <c r="Y4" s="7">
        <v>0.1</v>
      </c>
      <c r="Z4" s="7">
        <v>0.1</v>
      </c>
      <c r="AA4" s="7">
        <v>0.1</v>
      </c>
      <c r="AB4" s="7">
        <v>0.1</v>
      </c>
      <c r="AC4" s="7">
        <v>0.1</v>
      </c>
      <c r="AD4" s="7">
        <v>0.1</v>
      </c>
      <c r="AE4" s="7">
        <v>0.1</v>
      </c>
      <c r="AF4" s="7">
        <v>0.1</v>
      </c>
      <c r="AG4" s="7">
        <v>0.1</v>
      </c>
      <c r="AH4" s="7">
        <v>0.1</v>
      </c>
      <c r="AI4" s="7">
        <v>0.1</v>
      </c>
      <c r="AJ4" s="7">
        <v>0.1</v>
      </c>
      <c r="AK4" s="7">
        <v>0.1</v>
      </c>
      <c r="AL4" s="7">
        <v>0.1</v>
      </c>
      <c r="AM4" s="7">
        <v>0.1</v>
      </c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3">
      <c r="A5" s="7">
        <v>3</v>
      </c>
      <c r="B5" s="31" t="str">
        <f>IF($D5=0,"",VLOOKUP($D5,'Project IO'!$B:$E,3,FALSE))</f>
        <v>Active</v>
      </c>
      <c r="C5" s="31" t="str">
        <f>IF($D5=0,"",VLOOKUP($D5,'Project IO'!$B:$E,4,FALSE))</f>
        <v>Active</v>
      </c>
      <c r="D5" s="31" t="str">
        <f t="shared" si="1"/>
        <v>HRS</v>
      </c>
      <c r="E5" s="31" t="str">
        <f>IF($H5=0,"",VLOOKUP($H5,정원!$D:$G,2,FALSE))</f>
        <v>PMO</v>
      </c>
      <c r="F5" s="31" t="str">
        <f>IF($H5=0,"",VLOOKUP($H5,정원!$D:$G,3,FALSE))</f>
        <v>PM</v>
      </c>
      <c r="G5" s="31" t="str">
        <f>IF($H5=0,"",VLOOKUP($H5,정원!$D:$G,4,FALSE))</f>
        <v>PM</v>
      </c>
      <c r="H5" s="19" t="s">
        <v>68</v>
      </c>
      <c r="I5" s="74"/>
      <c r="J5" s="74"/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0.5</v>
      </c>
      <c r="AK5" s="7">
        <v>0.5</v>
      </c>
      <c r="AL5" s="7">
        <v>0.5</v>
      </c>
      <c r="AM5" s="7">
        <v>0.5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3">
      <c r="A6" s="7">
        <v>4</v>
      </c>
      <c r="B6" s="31" t="str">
        <f>IF($D6=0,"",VLOOKUP($D6,'Project IO'!$B:$E,3,FALSE))</f>
        <v>Active</v>
      </c>
      <c r="C6" s="31" t="str">
        <f>IF($D6=0,"",VLOOKUP($D6,'Project IO'!$B:$E,4,FALSE))</f>
        <v>Active</v>
      </c>
      <c r="D6" s="31" t="str">
        <f t="shared" si="1"/>
        <v>HRS</v>
      </c>
      <c r="E6" s="31" t="str">
        <f>IF($H6=0,"",VLOOKUP($H6,정원!$D:$G,2,FALSE))</f>
        <v>NPI IS</v>
      </c>
      <c r="F6" s="31" t="str">
        <f>IF($H6=0,"",VLOOKUP($H6,정원!$D:$G,3,FALSE))</f>
        <v>* Manager</v>
      </c>
      <c r="G6" s="31" t="str">
        <f>IF($H6=0,"",VLOOKUP($H6,정원!$D:$G,4,FALSE))</f>
        <v>* Manager</v>
      </c>
      <c r="H6" s="7" t="s">
        <v>69</v>
      </c>
      <c r="I6" s="74"/>
      <c r="J6" s="74"/>
      <c r="Q6" s="7"/>
      <c r="R6" s="7">
        <v>0.2</v>
      </c>
      <c r="S6" s="7">
        <v>0.2</v>
      </c>
      <c r="T6" s="7">
        <v>0.2</v>
      </c>
      <c r="U6" s="7">
        <v>0.1</v>
      </c>
      <c r="V6" s="7">
        <v>0.1</v>
      </c>
      <c r="W6" s="7">
        <v>0.1</v>
      </c>
      <c r="X6" s="7">
        <v>0.1</v>
      </c>
      <c r="Y6" s="7">
        <v>0.1</v>
      </c>
      <c r="Z6" s="7">
        <v>0.1</v>
      </c>
      <c r="AA6" s="7">
        <v>0.1</v>
      </c>
      <c r="AB6" s="7">
        <v>0.1</v>
      </c>
      <c r="AC6" s="7">
        <v>0.1</v>
      </c>
      <c r="AD6" s="7">
        <v>0.1</v>
      </c>
      <c r="AE6" s="7">
        <v>0.1</v>
      </c>
      <c r="AF6" s="7">
        <v>0.1</v>
      </c>
      <c r="AG6" s="7">
        <v>0.1</v>
      </c>
      <c r="AH6" s="7">
        <v>0.1</v>
      </c>
      <c r="AI6" s="7">
        <v>0.1</v>
      </c>
      <c r="AJ6" s="7">
        <v>0.1</v>
      </c>
      <c r="AK6" s="7">
        <v>0.1</v>
      </c>
      <c r="AL6" s="7">
        <v>0.1</v>
      </c>
      <c r="AM6" s="7">
        <v>0.1</v>
      </c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3">
      <c r="A7" s="7">
        <v>5</v>
      </c>
      <c r="B7" s="31" t="str">
        <f>IF($D7=0,"",VLOOKUP($D7,'Project IO'!$B:$E,3,FALSE))</f>
        <v>Active</v>
      </c>
      <c r="C7" s="31" t="str">
        <f>IF($D7=0,"",VLOOKUP($D7,'Project IO'!$B:$E,4,FALSE))</f>
        <v>Active</v>
      </c>
      <c r="D7" s="31" t="str">
        <f t="shared" si="1"/>
        <v>HRS</v>
      </c>
      <c r="E7" s="31" t="str">
        <f>IF($H7=0,"",VLOOKUP($H7,정원!$D:$G,2,FALSE))</f>
        <v>NPI IS</v>
      </c>
      <c r="F7" s="31" t="str">
        <f>IF($H7=0,"",VLOOKUP($H7,정원!$D:$G,3,FALSE))</f>
        <v>System 2</v>
      </c>
      <c r="G7" s="31" t="str">
        <f>IF($H7=0,"",VLOOKUP($H7,정원!$D:$G,4,FALSE))</f>
        <v>Tech Lead</v>
      </c>
      <c r="H7" s="145" t="s">
        <v>195</v>
      </c>
      <c r="I7" s="74"/>
      <c r="J7" s="74"/>
      <c r="Q7">
        <v>0.5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0.5</v>
      </c>
      <c r="AK7" s="7">
        <v>0.5</v>
      </c>
      <c r="AL7" s="7">
        <v>0.5</v>
      </c>
      <c r="AM7" s="7">
        <v>0.5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3">
      <c r="A8" s="7">
        <v>6</v>
      </c>
      <c r="B8" s="31" t="str">
        <f>IF($D8=0,"",VLOOKUP($D8,'Project IO'!$B:$E,3,FALSE))</f>
        <v>Active</v>
      </c>
      <c r="C8" s="31" t="str">
        <f>IF($D8=0,"",VLOOKUP($D8,'Project IO'!$B:$E,4,FALSE))</f>
        <v>Active</v>
      </c>
      <c r="D8" s="31" t="str">
        <f t="shared" si="1"/>
        <v>HRS</v>
      </c>
      <c r="E8" s="31" t="str">
        <f>IF($H8=0,"",VLOOKUP($H8,정원!$D:$G,2,FALSE))</f>
        <v>NPI IS</v>
      </c>
      <c r="F8" s="31" t="str">
        <f>IF($H8=0,"",VLOOKUP($H8,정원!$D:$G,3,FALSE))</f>
        <v>System 2</v>
      </c>
      <c r="G8" s="31" t="str">
        <f>IF($H8=0,"",VLOOKUP($H8,정원!$D:$G,4,FALSE))</f>
        <v>System engineer</v>
      </c>
      <c r="H8" s="145" t="s">
        <v>192</v>
      </c>
      <c r="I8" s="74"/>
      <c r="J8" s="74"/>
      <c r="P8" s="7"/>
      <c r="Q8" s="7"/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3">
      <c r="A9" s="7">
        <v>7</v>
      </c>
      <c r="B9" s="31" t="str">
        <f>IF($D9=0,"",VLOOKUP($D9,'Project IO'!$B:$E,3,FALSE))</f>
        <v>Active</v>
      </c>
      <c r="C9" s="31" t="str">
        <f>IF($D9=0,"",VLOOKUP($D9,'Project IO'!$B:$E,4,FALSE))</f>
        <v>Active</v>
      </c>
      <c r="D9" s="31" t="str">
        <f t="shared" si="1"/>
        <v>HRS</v>
      </c>
      <c r="E9" s="31" t="str">
        <f>IF($H9=0,"",VLOOKUP($H9,정원!$D:$G,2,FALSE))</f>
        <v>NPI IS</v>
      </c>
      <c r="F9" s="31" t="str">
        <f>IF($H9=0,"",VLOOKUP($H9,정원!$D:$G,3,FALSE))</f>
        <v>System 1</v>
      </c>
      <c r="G9" s="31" t="str">
        <f>IF($H9=0,"",VLOOKUP($H9,정원!$D:$G,4,FALSE))</f>
        <v>System engineer</v>
      </c>
      <c r="H9" s="145" t="s">
        <v>311</v>
      </c>
      <c r="I9" s="74"/>
      <c r="J9" s="74"/>
      <c r="Q9" s="7"/>
      <c r="R9" s="7"/>
      <c r="S9" s="7"/>
      <c r="T9" s="7"/>
      <c r="U9" s="7"/>
      <c r="V9" s="7"/>
      <c r="W9" s="7"/>
      <c r="X9" s="7"/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0.5</v>
      </c>
      <c r="AK9" s="7">
        <v>0.5</v>
      </c>
      <c r="AL9" s="7">
        <v>0.5</v>
      </c>
      <c r="AM9" s="7">
        <v>0.5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3">
      <c r="A10" s="7">
        <v>8</v>
      </c>
      <c r="B10" s="31" t="str">
        <f>IF($D10=0,"",VLOOKUP($D10,'Project IO'!$B:$E,3,FALSE))</f>
        <v>Active</v>
      </c>
      <c r="C10" s="31" t="str">
        <f>IF($D10=0,"",VLOOKUP($D10,'Project IO'!$B:$E,4,FALSE))</f>
        <v>Active</v>
      </c>
      <c r="D10" s="31" t="str">
        <f t="shared" si="1"/>
        <v>HRS</v>
      </c>
      <c r="E10" s="31" t="str">
        <f>IF($H10=0,"",VLOOKUP($H10,정원!$D:$G,2,FALSE))</f>
        <v>NPI IS</v>
      </c>
      <c r="F10" s="31" t="str">
        <f>IF($H10=0,"",VLOOKUP($H10,정원!$D:$G,3,FALSE))</f>
        <v>System 2</v>
      </c>
      <c r="G10" s="31" t="str">
        <f>IF($H10=0,"",VLOOKUP($H10,정원!$D:$G,4,FALSE))</f>
        <v>Service engineer</v>
      </c>
      <c r="H10" s="145" t="s">
        <v>189</v>
      </c>
      <c r="I10" s="74"/>
      <c r="J10" s="74"/>
      <c r="Q10" s="7"/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3">
      <c r="A11" s="7">
        <v>9</v>
      </c>
      <c r="B11" s="31" t="str">
        <f>IF($D11=0,"",VLOOKUP($D11,'Project IO'!$B:$E,3,FALSE))</f>
        <v>Active</v>
      </c>
      <c r="C11" s="31" t="str">
        <f>IF($D11=0,"",VLOOKUP($D11,'Project IO'!$B:$E,4,FALSE))</f>
        <v>Active</v>
      </c>
      <c r="D11" s="31" t="str">
        <f t="shared" si="1"/>
        <v>HRS</v>
      </c>
      <c r="E11" s="31" t="str">
        <f>IF($H11=0,"",VLOOKUP($H11,정원!$D:$G,2,FALSE))</f>
        <v>NPI IS</v>
      </c>
      <c r="F11" s="31"/>
      <c r="G11" s="31" t="str">
        <f>IF($H11=0,"",VLOOKUP($H11,정원!$D:$G,4,FALSE))</f>
        <v>Service engineer</v>
      </c>
      <c r="H11" s="145" t="s">
        <v>72</v>
      </c>
      <c r="I11" s="74"/>
      <c r="J11" s="74"/>
      <c r="Q11" s="7"/>
      <c r="R11" s="155">
        <v>1</v>
      </c>
      <c r="S11" s="155">
        <v>1</v>
      </c>
      <c r="T11" s="155">
        <v>1</v>
      </c>
      <c r="U11" s="155">
        <v>1</v>
      </c>
      <c r="V11" s="155">
        <v>1</v>
      </c>
      <c r="W11" s="155">
        <v>1</v>
      </c>
      <c r="X11" s="155">
        <v>1</v>
      </c>
      <c r="Y11" s="155">
        <v>1</v>
      </c>
      <c r="Z11" s="155">
        <v>1</v>
      </c>
      <c r="AA11" s="155">
        <v>1</v>
      </c>
      <c r="AB11" s="155">
        <v>1</v>
      </c>
      <c r="AC11" s="155">
        <v>1</v>
      </c>
      <c r="AD11" s="155">
        <v>1</v>
      </c>
      <c r="AE11" s="155">
        <v>1</v>
      </c>
      <c r="AF11" s="155">
        <v>1</v>
      </c>
      <c r="AG11" s="155">
        <v>1</v>
      </c>
      <c r="AH11" s="155">
        <v>1</v>
      </c>
      <c r="AI11" s="155">
        <v>1</v>
      </c>
      <c r="AJ11" s="155">
        <v>1</v>
      </c>
      <c r="AK11" s="155">
        <v>1</v>
      </c>
      <c r="AL11" s="155">
        <v>1</v>
      </c>
      <c r="AM11" s="155">
        <v>1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3">
      <c r="A12" s="7">
        <v>10</v>
      </c>
      <c r="B12" s="31" t="str">
        <f>IF($D12=0,"",VLOOKUP($D12,'Project IO'!$B:$E,3,FALSE))</f>
        <v>Active</v>
      </c>
      <c r="C12" s="31" t="str">
        <f>IF($D12=0,"",VLOOKUP($D12,'Project IO'!$B:$E,4,FALSE))</f>
        <v>Active</v>
      </c>
      <c r="D12" s="31" t="str">
        <f t="shared" si="1"/>
        <v>HRS</v>
      </c>
      <c r="E12" s="31" t="str">
        <f>IF($H12=0,"",VLOOKUP($H12,정원!$D:$G,2,FALSE))</f>
        <v>NPI IS</v>
      </c>
      <c r="F12" s="31" t="str">
        <f>IF($H12=0,"",VLOOKUP($H12,정원!$D:$G,3,FALSE))</f>
        <v>Mechanical</v>
      </c>
      <c r="G12" s="31" t="str">
        <f>IF($H12=0,"",VLOOKUP($H12,정원!$D:$G,4,FALSE))</f>
        <v>Leader</v>
      </c>
      <c r="H12" s="7" t="s">
        <v>73</v>
      </c>
      <c r="I12" s="74"/>
      <c r="J12" s="74"/>
      <c r="Q12" s="7">
        <v>0.2</v>
      </c>
      <c r="R12" s="7">
        <v>0.2</v>
      </c>
      <c r="S12" s="7">
        <v>0.2</v>
      </c>
      <c r="T12" s="7">
        <v>0.2</v>
      </c>
      <c r="U12" s="7">
        <v>0.1</v>
      </c>
      <c r="V12" s="7">
        <v>0.1</v>
      </c>
      <c r="W12" s="7">
        <v>0.1</v>
      </c>
      <c r="X12" s="7">
        <v>0.1</v>
      </c>
      <c r="Y12" s="7">
        <v>0.1</v>
      </c>
      <c r="Z12" s="7">
        <v>0.1</v>
      </c>
      <c r="AA12" s="7">
        <v>0.1</v>
      </c>
      <c r="AB12" s="7">
        <v>0.1</v>
      </c>
      <c r="AC12" s="7">
        <v>0.1</v>
      </c>
      <c r="AD12" s="7">
        <v>0.1</v>
      </c>
      <c r="AE12" s="7">
        <v>0.1</v>
      </c>
      <c r="AF12" s="7">
        <v>0.1</v>
      </c>
      <c r="AG12" s="7">
        <v>0.1</v>
      </c>
      <c r="AH12" s="7">
        <v>0.1</v>
      </c>
      <c r="AI12" s="7">
        <v>0.1</v>
      </c>
      <c r="AJ12" s="7">
        <v>0.1</v>
      </c>
      <c r="AK12" s="7">
        <v>0.1</v>
      </c>
      <c r="AL12" s="7">
        <v>0.1</v>
      </c>
      <c r="AM12" s="7">
        <v>0.1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3">
      <c r="A13" s="7">
        <v>11</v>
      </c>
      <c r="B13" s="31" t="str">
        <f>IF($D13=0,"",VLOOKUP($D13,'Project IO'!$B:$E,3,FALSE))</f>
        <v>Active</v>
      </c>
      <c r="C13" s="31" t="str">
        <f>IF($D13=0,"",VLOOKUP($D13,'Project IO'!$B:$E,4,FALSE))</f>
        <v>Active</v>
      </c>
      <c r="D13" s="31" t="str">
        <f t="shared" si="1"/>
        <v>HRS</v>
      </c>
      <c r="E13" s="31" t="str">
        <f>IF($H13=0,"",VLOOKUP($H13,정원!$D:$G,2,FALSE))</f>
        <v>NPI IS</v>
      </c>
      <c r="F13" s="31" t="str">
        <f>IF($H13=0,"",VLOOKUP($H13,정원!$D:$G,3,FALSE))</f>
        <v>Mechanical</v>
      </c>
      <c r="G13" s="31" t="str">
        <f>IF($H13=0,"",VLOOKUP($H13,정원!$D:$G,4,FALSE))</f>
        <v>Mechanical engineer</v>
      </c>
      <c r="H13" s="7" t="s">
        <v>74</v>
      </c>
      <c r="I13" s="74"/>
      <c r="J13" s="74"/>
      <c r="Q13" s="7">
        <v>0.5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3">
      <c r="A14" s="7">
        <v>12</v>
      </c>
      <c r="B14" s="31" t="str">
        <f>IF($D14=0,"",VLOOKUP($D14,'Project IO'!$B:$E,3,FALSE))</f>
        <v>Active</v>
      </c>
      <c r="C14" s="31" t="str">
        <f>IF($D14=0,"",VLOOKUP($D14,'Project IO'!$B:$E,4,FALSE))</f>
        <v>Active</v>
      </c>
      <c r="D14" s="31" t="str">
        <f t="shared" si="1"/>
        <v>HRS</v>
      </c>
      <c r="E14" s="31" t="str">
        <f>IF($H14=0,"",VLOOKUP($H14,정원!$D:$G,2,FALSE))</f>
        <v>NPI IS</v>
      </c>
      <c r="F14" s="31" t="str">
        <f>IF($H14=0,"",VLOOKUP($H14,정원!$D:$G,3,FALSE))</f>
        <v>Mechanical</v>
      </c>
      <c r="G14" s="31" t="str">
        <f>IF($H14=0,"",VLOOKUP($H14,정원!$D:$G,4,FALSE))</f>
        <v>Mechanical engineer</v>
      </c>
      <c r="H14" s="145" t="s">
        <v>263</v>
      </c>
      <c r="I14" s="74"/>
      <c r="J14" s="74"/>
      <c r="Q14">
        <v>0.5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3">
      <c r="A15" s="7">
        <v>13</v>
      </c>
      <c r="B15" s="31" t="str">
        <f>IF($D15=0,"",VLOOKUP($D15,'Project IO'!$B:$E,3,FALSE))</f>
        <v>Active</v>
      </c>
      <c r="C15" s="31" t="str">
        <f>IF($D15=0,"",VLOOKUP($D15,'Project IO'!$B:$E,4,FALSE))</f>
        <v>Active</v>
      </c>
      <c r="D15" s="31" t="str">
        <f t="shared" si="1"/>
        <v>HRS</v>
      </c>
      <c r="E15" s="31" t="str">
        <f>IF($H15=0,"",VLOOKUP($H15,정원!$D:$G,2,FALSE))</f>
        <v>NPI IS</v>
      </c>
      <c r="F15" s="31" t="str">
        <f>IF($H15=0,"",VLOOKUP($H15,정원!$D:$G,3,FALSE))</f>
        <v>Mechanical</v>
      </c>
      <c r="G15" s="31" t="str">
        <f>IF($H15=0,"",VLOOKUP($H15,정원!$D:$G,4,FALSE))</f>
        <v>Mechanical engineer</v>
      </c>
      <c r="H15" s="145" t="s">
        <v>259</v>
      </c>
      <c r="I15" s="74"/>
      <c r="J15" s="74"/>
      <c r="Q15" s="7">
        <v>0.5</v>
      </c>
      <c r="R15" s="7">
        <v>1</v>
      </c>
      <c r="S15" s="7">
        <v>0.5</v>
      </c>
      <c r="T15" s="7">
        <v>0.5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0.5</v>
      </c>
      <c r="AK15" s="7">
        <v>0.5</v>
      </c>
      <c r="AL15" s="7">
        <v>0.5</v>
      </c>
      <c r="AM15" s="7">
        <v>0.5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3">
      <c r="A16" s="7">
        <v>14</v>
      </c>
      <c r="B16" s="31" t="str">
        <f>IF($D16=0,"",VLOOKUP($D16,'Project IO'!$B:$E,3,FALSE))</f>
        <v>Active</v>
      </c>
      <c r="C16" s="31" t="str">
        <f>IF($D16=0,"",VLOOKUP($D16,'Project IO'!$B:$E,4,FALSE))</f>
        <v>Active</v>
      </c>
      <c r="D16" s="31" t="str">
        <f t="shared" si="1"/>
        <v>HRS</v>
      </c>
      <c r="E16" s="31" t="str">
        <f>IF($H16=0,"",VLOOKUP($H16,정원!$D:$G,2,FALSE))</f>
        <v>Control Eng.</v>
      </c>
      <c r="F16" s="31" t="str">
        <f>IF($H16=0,"",VLOOKUP($H16,정원!$D:$G,3,FALSE))</f>
        <v>* Manager</v>
      </c>
      <c r="G16" s="31" t="str">
        <f>IF($H16=0,"",VLOOKUP($H16,정원!$D:$G,4,FALSE))</f>
        <v>* Manager</v>
      </c>
      <c r="H16" s="7" t="s">
        <v>75</v>
      </c>
      <c r="I16" s="74"/>
      <c r="J16" s="74"/>
      <c r="Q16" s="7"/>
      <c r="R16" s="7">
        <v>0.1</v>
      </c>
      <c r="S16" s="7">
        <v>0.1</v>
      </c>
      <c r="T16" s="7">
        <v>0.1</v>
      </c>
      <c r="U16" s="7">
        <v>0.1</v>
      </c>
      <c r="V16" s="7">
        <v>0.1</v>
      </c>
      <c r="W16" s="7">
        <v>0.1</v>
      </c>
      <c r="X16" s="7">
        <v>0.1</v>
      </c>
      <c r="Y16" s="7">
        <v>0.1</v>
      </c>
      <c r="Z16" s="7">
        <v>0.1</v>
      </c>
      <c r="AA16" s="7">
        <v>0.1</v>
      </c>
      <c r="AB16" s="7">
        <v>0.1</v>
      </c>
      <c r="AC16" s="7">
        <v>0.1</v>
      </c>
      <c r="AD16" s="7">
        <v>0.1</v>
      </c>
      <c r="AE16" s="7">
        <v>0.1</v>
      </c>
      <c r="AF16" s="7">
        <v>0.1</v>
      </c>
      <c r="AG16" s="7">
        <v>0.1</v>
      </c>
      <c r="AH16" s="7">
        <v>0.1</v>
      </c>
      <c r="AI16" s="7">
        <v>0.1</v>
      </c>
      <c r="AJ16" s="7">
        <v>0.1</v>
      </c>
      <c r="AK16" s="7">
        <v>0.1</v>
      </c>
      <c r="AL16" s="7">
        <v>0.1</v>
      </c>
      <c r="AM16" s="7">
        <v>0.1</v>
      </c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>
      <c r="A17" s="7">
        <v>15</v>
      </c>
      <c r="B17" s="31" t="str">
        <f>IF($D17=0,"",VLOOKUP($D17,'Project IO'!$B:$E,3,FALSE))</f>
        <v>Active</v>
      </c>
      <c r="C17" s="31" t="str">
        <f>IF($D17=0,"",VLOOKUP($D17,'Project IO'!$B:$E,4,FALSE))</f>
        <v>Active</v>
      </c>
      <c r="D17" s="31" t="str">
        <f t="shared" si="1"/>
        <v>HRS</v>
      </c>
      <c r="E17" s="31" t="str">
        <f>IF($H17=0,"",VLOOKUP($H17,정원!$D:$G,2,FALSE))</f>
        <v>Control Eng.</v>
      </c>
      <c r="F17" s="31" t="str">
        <f>IF($H17=0,"",VLOOKUP($H17,정원!$D:$G,3,FALSE))</f>
        <v>Software</v>
      </c>
      <c r="G17" s="31" t="str">
        <f>IF($H17=0,"",VLOOKUP($H17,정원!$D:$G,4,FALSE))</f>
        <v>Leader</v>
      </c>
      <c r="H17" s="7" t="s">
        <v>76</v>
      </c>
      <c r="I17" s="74"/>
      <c r="J17" s="74"/>
      <c r="Q17" s="7"/>
      <c r="R17" s="7">
        <v>0.2</v>
      </c>
      <c r="S17" s="7">
        <v>0.2</v>
      </c>
      <c r="T17" s="7">
        <v>0.2</v>
      </c>
      <c r="U17" s="7">
        <v>0.1</v>
      </c>
      <c r="V17" s="7">
        <v>0.1</v>
      </c>
      <c r="W17" s="7">
        <v>0.1</v>
      </c>
      <c r="X17" s="7">
        <v>0.1</v>
      </c>
      <c r="Y17" s="7">
        <v>0.1</v>
      </c>
      <c r="Z17" s="7">
        <v>0.1</v>
      </c>
      <c r="AA17" s="7">
        <v>0.1</v>
      </c>
      <c r="AB17" s="7">
        <v>0.1</v>
      </c>
      <c r="AC17" s="7">
        <v>0.1</v>
      </c>
      <c r="AD17" s="7">
        <v>0.1</v>
      </c>
      <c r="AE17" s="7">
        <v>0.1</v>
      </c>
      <c r="AF17" s="7">
        <v>0.1</v>
      </c>
      <c r="AG17" s="7">
        <v>0.1</v>
      </c>
      <c r="AH17" s="7">
        <v>0.1</v>
      </c>
      <c r="AI17" s="7">
        <v>0.1</v>
      </c>
      <c r="AJ17" s="7">
        <v>0.1</v>
      </c>
      <c r="AK17" s="7">
        <v>0.1</v>
      </c>
      <c r="AL17" s="7">
        <v>0.1</v>
      </c>
      <c r="AM17" s="7">
        <v>0.1</v>
      </c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>
      <c r="A18" s="7">
        <v>16</v>
      </c>
      <c r="B18" s="31" t="str">
        <f>IF($D18=0,"",VLOOKUP($D18,'Project IO'!$B:$E,3,FALSE))</f>
        <v>Active</v>
      </c>
      <c r="C18" s="31" t="str">
        <f>IF($D18=0,"",VLOOKUP($D18,'Project IO'!$B:$E,4,FALSE))</f>
        <v>Active</v>
      </c>
      <c r="D18" s="31" t="str">
        <f t="shared" si="1"/>
        <v>HRS</v>
      </c>
      <c r="E18" s="31" t="str">
        <f>IF($H18=0,"",VLOOKUP($H18,정원!$D:$G,2,FALSE))</f>
        <v>Control Eng.</v>
      </c>
      <c r="F18" s="31" t="str">
        <f>IF($H18=0,"",VLOOKUP($H18,정원!$D:$G,3,FALSE))</f>
        <v>Software</v>
      </c>
      <c r="G18" s="31" t="str">
        <f>IF($H18=0,"",VLOOKUP($H18,정원!$D:$G,4,FALSE))</f>
        <v>Software engineer</v>
      </c>
      <c r="H18" s="19" t="s">
        <v>77</v>
      </c>
      <c r="I18" s="74"/>
      <c r="J18" s="74"/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>
      <c r="A19" s="7">
        <v>17</v>
      </c>
      <c r="B19" s="31" t="str">
        <f>IF($D19=0,"",VLOOKUP($D19,'Project IO'!$B:$E,3,FALSE))</f>
        <v>Active</v>
      </c>
      <c r="C19" s="31" t="str">
        <f>IF($D19=0,"",VLOOKUP($D19,'Project IO'!$B:$E,4,FALSE))</f>
        <v>Active</v>
      </c>
      <c r="D19" s="31" t="str">
        <f t="shared" si="1"/>
        <v>HRS</v>
      </c>
      <c r="E19" s="31" t="str">
        <f>IF($H19=0,"",VLOOKUP($H19,정원!$D:$G,2,FALSE))</f>
        <v>Control Eng.</v>
      </c>
      <c r="F19" s="31" t="str">
        <f>IF($H19=0,"",VLOOKUP($H19,정원!$D:$G,3,FALSE))</f>
        <v>Software</v>
      </c>
      <c r="G19" s="31" t="str">
        <f>IF($H19=0,"",VLOOKUP($H19,정원!$D:$G,4,FALSE))</f>
        <v>SW test engineer</v>
      </c>
      <c r="H19" s="19" t="s">
        <v>78</v>
      </c>
      <c r="I19" s="74"/>
      <c r="J19" s="74"/>
      <c r="Q19" s="7"/>
      <c r="R19" s="7"/>
      <c r="S19" s="7"/>
      <c r="T19" s="7"/>
      <c r="U19" s="7">
        <v>0.5</v>
      </c>
      <c r="V19" s="7">
        <v>0.5</v>
      </c>
      <c r="W19" s="7">
        <v>0.5</v>
      </c>
      <c r="X19" s="7">
        <v>0.5</v>
      </c>
      <c r="Y19" s="7">
        <v>0.5</v>
      </c>
      <c r="Z19" s="7">
        <v>0.5</v>
      </c>
      <c r="AA19" s="7">
        <v>0.5</v>
      </c>
      <c r="AB19" s="7">
        <v>0.5</v>
      </c>
      <c r="AC19" s="7">
        <v>0.5</v>
      </c>
      <c r="AD19" s="7">
        <v>0.5</v>
      </c>
      <c r="AE19" s="7">
        <v>0.5</v>
      </c>
      <c r="AF19" s="7">
        <v>0.5</v>
      </c>
      <c r="AG19" s="7">
        <v>0.5</v>
      </c>
      <c r="AH19" s="7">
        <v>0.5</v>
      </c>
      <c r="AI19" s="7">
        <v>0.5</v>
      </c>
      <c r="AJ19" s="7">
        <v>0.5</v>
      </c>
      <c r="AK19" s="7">
        <v>0.5</v>
      </c>
      <c r="AL19" s="7">
        <v>0.5</v>
      </c>
      <c r="AM19" s="7">
        <v>0.5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>
      <c r="A20" s="7">
        <v>18</v>
      </c>
      <c r="B20" s="31" t="str">
        <f>IF($D20=0,"",VLOOKUP($D20,'Project IO'!$B:$E,3,FALSE))</f>
        <v>Active</v>
      </c>
      <c r="C20" s="31" t="str">
        <f>IF($D20=0,"",VLOOKUP($D20,'Project IO'!$B:$E,4,FALSE))</f>
        <v>Active</v>
      </c>
      <c r="D20" s="31" t="str">
        <f t="shared" si="1"/>
        <v>HRS</v>
      </c>
      <c r="E20" s="31" t="str">
        <f>IF($H20=0,"",VLOOKUP($H20,정원!$D:$G,2,FALSE))</f>
        <v>Control Eng.</v>
      </c>
      <c r="F20" s="31" t="str">
        <f>IF($H20=0,"",VLOOKUP($H20,정원!$D:$G,3,FALSE))</f>
        <v>Electrical</v>
      </c>
      <c r="G20" s="31" t="str">
        <f>IF($H20=0,"",VLOOKUP($H20,정원!$D:$G,4,FALSE))</f>
        <v>Leader</v>
      </c>
      <c r="H20" s="7" t="s">
        <v>79</v>
      </c>
      <c r="I20" s="74"/>
      <c r="J20" s="74"/>
      <c r="Q20" s="7"/>
      <c r="R20" s="7">
        <v>0.2</v>
      </c>
      <c r="S20" s="7">
        <v>0.2</v>
      </c>
      <c r="T20" s="7">
        <v>0.2</v>
      </c>
      <c r="U20" s="7">
        <v>0.1</v>
      </c>
      <c r="V20" s="7">
        <v>0.1</v>
      </c>
      <c r="W20" s="7">
        <v>0.1</v>
      </c>
      <c r="X20" s="7">
        <v>0.1</v>
      </c>
      <c r="Y20" s="7">
        <v>0.1</v>
      </c>
      <c r="Z20" s="7">
        <v>0.1</v>
      </c>
      <c r="AA20" s="7">
        <v>0.1</v>
      </c>
      <c r="AB20" s="7">
        <v>0.1</v>
      </c>
      <c r="AC20" s="7">
        <v>0.1</v>
      </c>
      <c r="AD20" s="7">
        <v>0.1</v>
      </c>
      <c r="AE20" s="7">
        <v>0.1</v>
      </c>
      <c r="AF20" s="7">
        <v>0.1</v>
      </c>
      <c r="AG20" s="7">
        <v>0.1</v>
      </c>
      <c r="AH20" s="7">
        <v>0.1</v>
      </c>
      <c r="AI20" s="7">
        <v>0.1</v>
      </c>
      <c r="AJ20" s="7">
        <v>0.1</v>
      </c>
      <c r="AK20" s="7">
        <v>0.1</v>
      </c>
      <c r="AL20" s="7">
        <v>0.1</v>
      </c>
      <c r="AM20" s="7">
        <v>0.1</v>
      </c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>
      <c r="A21" s="7">
        <v>19</v>
      </c>
      <c r="B21" s="31" t="str">
        <f>IF($D21=0,"",VLOOKUP($D21,'Project IO'!$B:$E,3,FALSE))</f>
        <v>Active</v>
      </c>
      <c r="C21" s="31" t="str">
        <f>IF($D21=0,"",VLOOKUP($D21,'Project IO'!$B:$E,4,FALSE))</f>
        <v>Active</v>
      </c>
      <c r="D21" s="31" t="str">
        <f t="shared" si="1"/>
        <v>HRS</v>
      </c>
      <c r="E21" s="31" t="str">
        <f>IF($H21=0,"",VLOOKUP($H21,정원!$D:$G,2,FALSE))</f>
        <v>Control Eng.</v>
      </c>
      <c r="F21" s="31" t="str">
        <f>IF($H21=0,"",VLOOKUP($H21,정원!$D:$G,3,FALSE))</f>
        <v>Electrical</v>
      </c>
      <c r="G21" s="31" t="str">
        <f>IF($H21=0,"",VLOOKUP($H21,정원!$D:$G,4,FALSE))</f>
        <v>Electrical engineer</v>
      </c>
      <c r="H21" s="19" t="s">
        <v>80</v>
      </c>
      <c r="I21" s="74"/>
      <c r="J21" s="74"/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 s="7">
        <v>0.5</v>
      </c>
      <c r="AK21" s="7">
        <v>0.5</v>
      </c>
      <c r="AL21" s="7">
        <v>0.5</v>
      </c>
      <c r="AM21" s="7">
        <v>0.5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>
      <c r="A22" s="7">
        <v>20</v>
      </c>
      <c r="B22" s="31" t="str">
        <f>IF($D22=0,"",VLOOKUP($D22,'Project IO'!$B:$E,3,FALSE))</f>
        <v>Active</v>
      </c>
      <c r="C22" s="31" t="str">
        <f>IF($D22=0,"",VLOOKUP($D22,'Project IO'!$B:$E,4,FALSE))</f>
        <v>Active</v>
      </c>
      <c r="D22" s="31" t="str">
        <f t="shared" si="1"/>
        <v>HRS</v>
      </c>
      <c r="E22" s="31" t="str">
        <f>IF($H22=0,"",VLOOKUP($H22,정원!$D:$G,2,FALSE))</f>
        <v>NPI IS</v>
      </c>
      <c r="F22" s="31" t="str">
        <f>IF($H22=0,"",VLOOKUP($H22,정원!$D:$G,3,FALSE))</f>
        <v>System 2</v>
      </c>
      <c r="G22" s="31" t="str">
        <f>IF($H22=0,"",VLOOKUP($H22,정원!$D:$G,4,FALSE))</f>
        <v>System engineer</v>
      </c>
      <c r="H22" s="7" t="s">
        <v>190</v>
      </c>
      <c r="I22" s="74"/>
      <c r="J22" s="74"/>
      <c r="Q22" s="7"/>
      <c r="R22" s="7">
        <v>0.5</v>
      </c>
      <c r="S22" s="7">
        <v>0.5</v>
      </c>
      <c r="T22" s="7">
        <v>0.5</v>
      </c>
      <c r="U22" s="7">
        <v>0.5</v>
      </c>
      <c r="V22" s="7">
        <v>0.5</v>
      </c>
      <c r="W22" s="7">
        <v>0.5</v>
      </c>
      <c r="X22" s="7">
        <v>0.5</v>
      </c>
      <c r="Y22" s="7">
        <v>0.5</v>
      </c>
      <c r="Z22" s="7">
        <v>0.5</v>
      </c>
      <c r="AA22" s="7">
        <v>0.5</v>
      </c>
      <c r="AB22" s="7">
        <v>0.5</v>
      </c>
      <c r="AC22" s="7">
        <v>0.5</v>
      </c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>
      <c r="A23" s="7">
        <v>21</v>
      </c>
      <c r="B23" s="31" t="str">
        <f>IF($D23=0,"",VLOOKUP($D23,'Project IO'!$B:$E,3,FALSE))</f>
        <v>Active</v>
      </c>
      <c r="C23" s="31" t="str">
        <f>IF($D23=0,"",VLOOKUP($D23,'Project IO'!$B:$E,4,FALSE))</f>
        <v>Active</v>
      </c>
      <c r="D23" s="31" t="str">
        <f t="shared" si="1"/>
        <v>HRS</v>
      </c>
      <c r="E23" s="31" t="str">
        <f>IF($H23=0,"",VLOOKUP($H23,정원!$D:$G,2,FALSE))</f>
        <v/>
      </c>
      <c r="F23" s="31" t="str">
        <f>IF($H23=0,"",VLOOKUP($H23,정원!$D:$G,3,FALSE))</f>
        <v/>
      </c>
      <c r="G23" s="31" t="str">
        <f>IF($H23=0,"",VLOOKUP($H23,정원!$D:$G,4,FALSE))</f>
        <v/>
      </c>
      <c r="I23" s="74"/>
      <c r="J23" s="74"/>
    </row>
    <row r="24" spans="1:50">
      <c r="A24" s="7">
        <v>22</v>
      </c>
      <c r="B24" s="31" t="str">
        <f>IF($D24=0,"",VLOOKUP($D24,'Project IO'!$B:$E,3,FALSE))</f>
        <v>Active</v>
      </c>
      <c r="C24" s="31" t="str">
        <f>IF($D24=0,"",VLOOKUP($D24,'Project IO'!$B:$E,4,FALSE))</f>
        <v>Active</v>
      </c>
      <c r="D24" s="31" t="str">
        <f t="shared" si="1"/>
        <v>HRS</v>
      </c>
      <c r="E24" s="31">
        <f>IF($H24=0,"",VLOOKUP($H24,정원!$D:$G,2,FALSE))</f>
        <v>0</v>
      </c>
      <c r="F24" s="31">
        <f>IF($H24=0,"",VLOOKUP($H24,정원!$D:$G,3,FALSE))</f>
        <v>0</v>
      </c>
      <c r="G24" s="31">
        <f>IF($H24=0,"",VLOOKUP($H24,정원!$D:$G,4,FALSE))</f>
        <v>0</v>
      </c>
      <c r="H24" s="19" t="s">
        <v>81</v>
      </c>
      <c r="I24" s="74"/>
      <c r="J24" s="74"/>
    </row>
    <row r="25" spans="1:50">
      <c r="A25" s="7">
        <v>23</v>
      </c>
      <c r="B25" s="31" t="str">
        <f>IF($D25=0,"",VLOOKUP($D25,'Project IO'!$B:$E,3,FALSE))</f>
        <v>Active</v>
      </c>
      <c r="C25" s="31" t="str">
        <f>IF($D25=0,"",VLOOKUP($D25,'Project IO'!$B:$E,4,FALSE))</f>
        <v>Active</v>
      </c>
      <c r="D25" s="31" t="str">
        <f t="shared" si="1"/>
        <v>HRS</v>
      </c>
      <c r="E25" s="31">
        <f>IF($H25=0,"",VLOOKUP($H25,정원!$D:$G,2,FALSE))</f>
        <v>0</v>
      </c>
      <c r="F25" s="31">
        <f>IF($H25=0,"",VLOOKUP($H25,정원!$D:$G,3,FALSE))</f>
        <v>0</v>
      </c>
      <c r="G25" s="31">
        <f>IF($H25=0,"",VLOOKUP($H25,정원!$D:$G,4,FALSE))</f>
        <v>0</v>
      </c>
      <c r="H25" s="19" t="s">
        <v>81</v>
      </c>
      <c r="I25" s="74"/>
      <c r="J25" s="74"/>
      <c r="K25" t="s">
        <v>82</v>
      </c>
      <c r="N25" t="s">
        <v>83</v>
      </c>
      <c r="X25" s="16" t="s">
        <v>312</v>
      </c>
      <c r="Y25" s="16"/>
      <c r="Z25" s="16"/>
      <c r="AA25" s="16"/>
      <c r="AB25" s="16"/>
      <c r="AC25" s="16" t="s">
        <v>83</v>
      </c>
      <c r="AD25" s="16"/>
      <c r="AE25" s="16"/>
      <c r="AF25" s="16"/>
      <c r="AG25" s="16"/>
      <c r="AH25" s="16"/>
      <c r="AI25" s="16"/>
      <c r="AJ25" s="16" t="s">
        <v>84</v>
      </c>
      <c r="AK25" s="16"/>
      <c r="AL25" s="16"/>
      <c r="AM25" s="16"/>
    </row>
    <row r="26" spans="1:50">
      <c r="X26" s="16" t="s">
        <v>312</v>
      </c>
      <c r="Y26" s="16"/>
      <c r="Z26" s="16"/>
      <c r="AA26" s="16"/>
      <c r="AB26" s="16"/>
      <c r="AC26" s="16"/>
      <c r="AD26" s="16"/>
      <c r="AE26" s="16"/>
      <c r="AF26" s="16"/>
      <c r="AG26" s="16" t="s">
        <v>83</v>
      </c>
      <c r="AH26" s="16"/>
      <c r="AI26" s="16"/>
      <c r="AJ26" s="16"/>
      <c r="AK26" s="16"/>
      <c r="AL26" s="16"/>
      <c r="AM26" s="16" t="s">
        <v>84</v>
      </c>
    </row>
    <row r="30" spans="1:50">
      <c r="R30" s="152">
        <f>50000*1450</f>
        <v>72500000</v>
      </c>
    </row>
    <row r="31" spans="1:50">
      <c r="R31" s="152">
        <f>1450*20000</f>
        <v>29000000</v>
      </c>
    </row>
    <row r="32" spans="1:50">
      <c r="R32" s="152">
        <f>1450*5000</f>
        <v>7250000</v>
      </c>
    </row>
    <row r="1048541" spans="2:7">
      <c r="B1048541" s="7"/>
      <c r="C1048541" s="7"/>
      <c r="D1048541" s="7"/>
      <c r="E1048541" s="7"/>
      <c r="F1048541" s="7"/>
      <c r="G1048541" s="7"/>
    </row>
    <row r="1048542" spans="2:7">
      <c r="B1048542" s="7"/>
      <c r="C1048542" s="7"/>
      <c r="D1048542" s="7"/>
      <c r="E1048542" s="7"/>
      <c r="F1048542" s="7"/>
      <c r="G1048542" s="7"/>
    </row>
    <row r="1048543" spans="2:7">
      <c r="B1048543" s="7"/>
      <c r="C1048543" s="7"/>
      <c r="D1048543" s="7"/>
      <c r="E1048543" s="7"/>
      <c r="F1048543" s="7"/>
      <c r="G1048543" s="19"/>
    </row>
    <row r="1048544" spans="2:7">
      <c r="B1048544" s="7"/>
      <c r="C1048544" s="7"/>
      <c r="D1048544" s="7"/>
      <c r="E1048544" s="7"/>
      <c r="F1048544" s="7"/>
      <c r="G1048544" s="7"/>
    </row>
    <row r="1048545" spans="2:7">
      <c r="B1048545" s="7"/>
      <c r="C1048545" s="7"/>
      <c r="D1048545" s="7"/>
      <c r="E1048545" s="7"/>
      <c r="F1048545" s="7"/>
      <c r="G1048545" s="19"/>
    </row>
    <row r="1048546" spans="2:7">
      <c r="B1048546" s="7"/>
      <c r="C1048546" s="7"/>
      <c r="D1048546" s="7"/>
      <c r="E1048546" s="7"/>
      <c r="F1048546" s="7"/>
      <c r="G1048546" s="19"/>
    </row>
    <row r="1048547" spans="2:7">
      <c r="B1048547" s="7"/>
      <c r="C1048547" s="7"/>
      <c r="D1048547" s="7"/>
      <c r="E1048547" s="7"/>
      <c r="F1048547" s="7"/>
      <c r="G1048547" s="19"/>
    </row>
    <row r="1048548" spans="2:7">
      <c r="B1048548" s="7"/>
      <c r="C1048548" s="7"/>
      <c r="D1048548" s="7"/>
      <c r="E1048548" s="7"/>
      <c r="F1048548" s="7"/>
      <c r="G1048548" s="19"/>
    </row>
    <row r="1048549" spans="2:7">
      <c r="B1048549" s="7"/>
      <c r="C1048549" s="7"/>
      <c r="D1048549" s="7"/>
      <c r="E1048549" s="7"/>
      <c r="F1048549" s="7"/>
      <c r="G1048549" s="7"/>
    </row>
    <row r="1048550" spans="2:7">
      <c r="B1048550" s="7"/>
      <c r="C1048550" s="7"/>
      <c r="D1048550" s="7"/>
      <c r="E1048550" s="7"/>
      <c r="F1048550" s="7"/>
      <c r="G1048550" s="19"/>
    </row>
    <row r="1048551" spans="2:7">
      <c r="B1048551" s="7"/>
      <c r="C1048551" s="7"/>
      <c r="D1048551" s="7"/>
      <c r="E1048551" s="7"/>
      <c r="F1048551" s="7"/>
      <c r="G1048551" s="7"/>
    </row>
    <row r="1048552" spans="2:7">
      <c r="B1048552" s="7"/>
      <c r="C1048552" s="7"/>
      <c r="D1048552" s="7"/>
      <c r="E1048552" s="7"/>
      <c r="F1048552" s="7"/>
      <c r="G1048552" s="7"/>
    </row>
    <row r="1048553" spans="2:7">
      <c r="B1048553" s="7"/>
      <c r="C1048553" s="7"/>
      <c r="D1048553" s="7"/>
      <c r="E1048553" s="7"/>
      <c r="F1048553" s="7"/>
      <c r="G1048553" s="19"/>
    </row>
    <row r="1048554" spans="2:7">
      <c r="B1048554" s="7"/>
      <c r="C1048554" s="7"/>
      <c r="D1048554" s="7"/>
      <c r="E1048554" s="7"/>
      <c r="F1048554" s="7"/>
      <c r="G1048554" s="19"/>
    </row>
    <row r="1048555" spans="2:7">
      <c r="B1048555" s="7"/>
      <c r="C1048555" s="7"/>
      <c r="D1048555" s="7"/>
      <c r="E1048555" s="7"/>
      <c r="F1048555" s="7"/>
      <c r="G1048555" s="7"/>
    </row>
    <row r="1048556" spans="2:7">
      <c r="B1048556" s="7"/>
      <c r="C1048556" s="7"/>
      <c r="D1048556" s="7"/>
      <c r="E1048556" s="7"/>
      <c r="F1048556" s="7"/>
      <c r="G1048556" s="19"/>
    </row>
    <row r="1048557" spans="2:7">
      <c r="B1048557" s="7"/>
      <c r="C1048557" s="7"/>
      <c r="D1048557" s="7"/>
      <c r="E1048557" s="7"/>
      <c r="F1048557" s="7"/>
      <c r="G1048557" s="19"/>
    </row>
  </sheetData>
  <phoneticPr fontId="1" type="noConversion"/>
  <dataValidations count="2">
    <dataValidation type="list" allowBlank="1" showInputMessage="1" showErrorMessage="1" sqref="F26:F1048576" xr:uid="{BCF378CA-E2F4-406C-AD12-944B2156C3EC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E26:E1048576" xr:uid="{61873893-DAFA-440D-ABD8-5E900C6E3374}">
      <formula1>"Engineering, PMO, System engineering, Control Engineering"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7F4150-348B-49B7-A7F5-E213D7098E4D}">
          <x14:formula1>
            <xm:f>'Project IO'!$B$4:$B$101</xm:f>
          </x14:formula1>
          <xm:sqref>A1</xm:sqref>
        </x14:dataValidation>
        <x14:dataValidation type="list" allowBlank="1" showInputMessage="1" showErrorMessage="1" xr:uid="{951D3F59-BAEC-49C2-9012-0325A0E32A74}">
          <x14:formula1>
            <xm:f>정원!$D:$D</xm:f>
          </x14:formula1>
          <xm:sqref>H3:H1048576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6270-C59E-4367-BD63-8C013C67A0AD}">
  <sheetPr>
    <tabColor theme="6" tint="0.79998168889431442"/>
  </sheetPr>
  <dimension ref="A1:BA17"/>
  <sheetViews>
    <sheetView workbookViewId="0">
      <selection activeCell="H25" sqref="H25"/>
    </sheetView>
  </sheetViews>
  <sheetFormatPr defaultColWidth="9" defaultRowHeight="16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5.125" style="51" bestFit="1" customWidth="1"/>
    <col min="8" max="8" width="17.12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53" ht="27" customHeight="1">
      <c r="A1" s="48" t="s">
        <v>224</v>
      </c>
      <c r="B1" s="49" t="str">
        <f>IF($A$1=0,"",VLOOKUP(A1,'Project IO'!$B$4:$C$101,2,FALSE))</f>
        <v>TBC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BA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>SUM(S3:S1048576)</f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ref="AD1:AO1" si="1">SUM(AD3:AD1048576)</f>
        <v>5.1000000000000005</v>
      </c>
      <c r="AE1" s="51">
        <f t="shared" si="1"/>
        <v>5.1000000000000005</v>
      </c>
      <c r="AF1" s="51">
        <f t="shared" si="1"/>
        <v>6.1000000000000005</v>
      </c>
      <c r="AG1" s="51">
        <f t="shared" si="1"/>
        <v>6.6</v>
      </c>
      <c r="AH1" s="51">
        <f t="shared" si="1"/>
        <v>8.1</v>
      </c>
      <c r="AI1" s="51">
        <f t="shared" si="1"/>
        <v>8.1</v>
      </c>
      <c r="AJ1" s="51">
        <f t="shared" si="1"/>
        <v>8</v>
      </c>
      <c r="AK1" s="51">
        <f t="shared" si="1"/>
        <v>8</v>
      </c>
      <c r="AL1" s="51">
        <f t="shared" si="1"/>
        <v>8</v>
      </c>
      <c r="AM1" s="51">
        <f t="shared" si="1"/>
        <v>8</v>
      </c>
      <c r="AN1" s="51">
        <f t="shared" si="1"/>
        <v>8</v>
      </c>
      <c r="AO1" s="51">
        <f t="shared" si="1"/>
        <v>8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69" t="s">
        <v>86</v>
      </c>
      <c r="I2" s="70" t="s">
        <v>64</v>
      </c>
      <c r="J2" s="70" t="s">
        <v>65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3">
      <c r="A3" s="61">
        <v>1</v>
      </c>
      <c r="B3" s="31" t="str">
        <f>IF($D3=0,"",VLOOKUP($D3,'Project IO'!$B:$E,3,FALSE))</f>
        <v>potential</v>
      </c>
      <c r="C3" s="31" t="str">
        <f>IF($D3=0,"",VLOOKUP($D3,'Project IO'!$B:$E,4,FALSE))</f>
        <v>Opportunty</v>
      </c>
      <c r="D3" s="62" t="str">
        <f>$A$1</f>
        <v>HRS 9N Upgarde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67</v>
      </c>
      <c r="I3" s="73">
        <v>46412</v>
      </c>
      <c r="J3" s="73">
        <f>I3</f>
        <v>46412</v>
      </c>
      <c r="K3" s="61"/>
      <c r="L3" s="61"/>
      <c r="M3" s="61"/>
      <c r="N3" s="61"/>
      <c r="O3" s="61"/>
      <c r="P3" s="61"/>
      <c r="Q3" s="61"/>
      <c r="AD3" s="64">
        <v>0.1</v>
      </c>
      <c r="AE3" s="64">
        <v>0.1</v>
      </c>
      <c r="AF3" s="64">
        <v>0.1</v>
      </c>
      <c r="AG3" s="64">
        <v>0.1</v>
      </c>
      <c r="AH3" s="64">
        <v>0.2</v>
      </c>
      <c r="AI3" s="64">
        <v>0.2</v>
      </c>
      <c r="AJ3" s="64">
        <v>0.2</v>
      </c>
      <c r="AK3" s="64">
        <v>0.2</v>
      </c>
      <c r="AL3" s="64">
        <v>0.2</v>
      </c>
      <c r="AM3" s="64">
        <v>0.2</v>
      </c>
      <c r="AN3" s="64">
        <v>0.2</v>
      </c>
      <c r="AO3" s="64">
        <v>0.2</v>
      </c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potential</v>
      </c>
      <c r="C4" s="31" t="str">
        <f>IF($D4=0,"",VLOOKUP($D4,'Project IO'!$B:$E,4,FALSE))</f>
        <v>Opportunty</v>
      </c>
      <c r="D4" s="62" t="str">
        <f t="shared" ref="D4:D17" si="2">$A$1</f>
        <v>HRS 9N Upgarde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5" t="s">
        <v>242</v>
      </c>
      <c r="I4" s="73">
        <v>46412</v>
      </c>
      <c r="J4" s="73">
        <f t="shared" ref="J4:J17" si="3">I4</f>
        <v>46412</v>
      </c>
      <c r="K4" s="61"/>
      <c r="L4" s="61"/>
      <c r="M4" s="61"/>
      <c r="N4" s="61"/>
      <c r="O4" s="61"/>
      <c r="P4" s="61"/>
      <c r="Q4" s="61"/>
      <c r="AD4" s="64">
        <v>0.5</v>
      </c>
      <c r="AE4" s="64">
        <v>0.5</v>
      </c>
      <c r="AF4" s="64">
        <v>0.5</v>
      </c>
      <c r="AG4" s="64">
        <v>1</v>
      </c>
      <c r="AH4" s="64">
        <v>1</v>
      </c>
      <c r="AI4" s="64">
        <v>1</v>
      </c>
      <c r="AJ4" s="64">
        <v>1</v>
      </c>
      <c r="AK4" s="64">
        <v>1</v>
      </c>
      <c r="AL4" s="64">
        <v>1</v>
      </c>
      <c r="AM4" s="64">
        <v>1</v>
      </c>
      <c r="AN4" s="64">
        <v>1</v>
      </c>
      <c r="AO4" s="64">
        <v>1</v>
      </c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potential</v>
      </c>
      <c r="C5" s="31" t="str">
        <f>IF($D5=0,"",VLOOKUP($D5,'Project IO'!$B:$E,4,FALSE))</f>
        <v>Opportunty</v>
      </c>
      <c r="D5" s="62" t="str">
        <f t="shared" si="2"/>
        <v>HRS 9N Upgarde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5" t="s">
        <v>69</v>
      </c>
      <c r="I5" s="73">
        <v>46412</v>
      </c>
      <c r="J5" s="73">
        <f t="shared" si="3"/>
        <v>46412</v>
      </c>
      <c r="K5" s="61"/>
      <c r="L5" s="61"/>
      <c r="M5" s="61"/>
      <c r="N5" s="61"/>
      <c r="O5" s="61"/>
      <c r="P5" s="61"/>
      <c r="Q5" s="61"/>
      <c r="AD5" s="64">
        <v>0.1</v>
      </c>
      <c r="AE5" s="64">
        <v>0.1</v>
      </c>
      <c r="AF5" s="64">
        <v>0.1</v>
      </c>
      <c r="AG5" s="64">
        <v>0.1</v>
      </c>
      <c r="AH5" s="64">
        <v>0.2</v>
      </c>
      <c r="AI5" s="64">
        <v>0.2</v>
      </c>
      <c r="AJ5" s="64">
        <v>0.2</v>
      </c>
      <c r="AK5" s="64">
        <v>0.2</v>
      </c>
      <c r="AL5" s="64">
        <v>0.2</v>
      </c>
      <c r="AM5" s="64">
        <v>0.2</v>
      </c>
      <c r="AN5" s="64">
        <v>0.2</v>
      </c>
      <c r="AO5" s="64">
        <v>0.2</v>
      </c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potential</v>
      </c>
      <c r="C6" s="31" t="str">
        <f>IF($D6=0,"",VLOOKUP($D6,'Project IO'!$B:$E,4,FALSE))</f>
        <v>Opportunty</v>
      </c>
      <c r="D6" s="62" t="str">
        <f t="shared" si="2"/>
        <v>HRS 9N Upgarde</v>
      </c>
      <c r="E6" s="62" t="str">
        <f>IF($H6=0,"",VLOOKUP($H6,정원!$D:$G,2,FALSE))</f>
        <v>NPI IS</v>
      </c>
      <c r="F6" s="62" t="str">
        <f>IF($H6=0,"",VLOOKUP($H6,정원!$D:$G,3,FALSE))</f>
        <v>System 2</v>
      </c>
      <c r="G6" s="62" t="str">
        <f>IF($H6=0,"",VLOOKUP($H6,정원!$D:$G,4,FALSE))</f>
        <v>Tech Lead</v>
      </c>
      <c r="H6" s="65" t="s">
        <v>194</v>
      </c>
      <c r="I6" s="73">
        <v>46412</v>
      </c>
      <c r="J6" s="73">
        <f t="shared" si="3"/>
        <v>46412</v>
      </c>
      <c r="K6" s="61"/>
      <c r="L6" s="61"/>
      <c r="M6" s="61"/>
      <c r="N6" s="61"/>
      <c r="O6" s="61"/>
      <c r="P6" s="61"/>
      <c r="Q6" s="61"/>
      <c r="AD6" s="64"/>
      <c r="AE6" s="64"/>
      <c r="AF6" s="64">
        <v>1</v>
      </c>
      <c r="AG6" s="64">
        <v>1</v>
      </c>
      <c r="AH6" s="64">
        <v>1</v>
      </c>
      <c r="AI6" s="64">
        <v>1</v>
      </c>
      <c r="AJ6" s="64">
        <v>1</v>
      </c>
      <c r="AK6" s="64">
        <v>1</v>
      </c>
      <c r="AL6" s="64">
        <v>1</v>
      </c>
      <c r="AM6" s="64">
        <v>1</v>
      </c>
      <c r="AN6" s="64">
        <v>1</v>
      </c>
      <c r="AO6" s="64">
        <v>1</v>
      </c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potential</v>
      </c>
      <c r="C7" s="31" t="str">
        <f>IF($D7=0,"",VLOOKUP($D7,'Project IO'!$B:$E,4,FALSE))</f>
        <v>Opportunty</v>
      </c>
      <c r="D7" s="62" t="str">
        <f t="shared" si="2"/>
        <v>HRS 9N Upgarde</v>
      </c>
      <c r="E7" s="62" t="str">
        <f>IF($H7=0,"",VLOOKUP($H7,정원!$D:$G,2,FALSE))</f>
        <v>NPI IS</v>
      </c>
      <c r="F7" s="62" t="str">
        <f>IF($H7=0,"",VLOOKUP($H7,정원!$D:$G,3,FALSE))</f>
        <v>System 2</v>
      </c>
      <c r="G7" s="62" t="str">
        <f>IF($H7=0,"",VLOOKUP($H7,정원!$D:$G,4,FALSE))</f>
        <v>System engineer</v>
      </c>
      <c r="H7" s="65" t="s">
        <v>191</v>
      </c>
      <c r="I7" s="73">
        <v>46412</v>
      </c>
      <c r="J7" s="73">
        <f t="shared" si="3"/>
        <v>46412</v>
      </c>
      <c r="K7" s="61"/>
      <c r="L7" s="61"/>
      <c r="M7" s="61"/>
      <c r="N7" s="61"/>
      <c r="O7" s="61"/>
      <c r="P7" s="61"/>
      <c r="Q7" s="61"/>
      <c r="AD7" s="64">
        <v>1</v>
      </c>
      <c r="AE7" s="64">
        <v>1</v>
      </c>
      <c r="AF7" s="64">
        <v>1</v>
      </c>
      <c r="AG7" s="64">
        <v>1</v>
      </c>
      <c r="AH7" s="64">
        <v>1</v>
      </c>
      <c r="AI7" s="64">
        <v>1</v>
      </c>
      <c r="AJ7" s="64">
        <v>1</v>
      </c>
      <c r="AK7" s="64">
        <v>1</v>
      </c>
      <c r="AL7" s="64">
        <v>1</v>
      </c>
      <c r="AM7" s="64">
        <v>1</v>
      </c>
      <c r="AN7" s="64">
        <v>1</v>
      </c>
      <c r="AO7" s="64">
        <v>1</v>
      </c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potential</v>
      </c>
      <c r="C8" s="31" t="str">
        <f>IF($D8=0,"",VLOOKUP($D8,'Project IO'!$B:$E,4,FALSE))</f>
        <v>Opportunty</v>
      </c>
      <c r="D8" s="62" t="str">
        <f t="shared" si="2"/>
        <v>HRS 9N Upgarde</v>
      </c>
      <c r="E8" s="62" t="str">
        <f>IF($H8=0,"",VLOOKUP($H8,정원!$D:$G,2,FALSE))</f>
        <v>NPI IS</v>
      </c>
      <c r="F8" s="62" t="str">
        <f>IF($H8=0,"",VLOOKUP($H8,정원!$D:$G,3,FALSE))</f>
        <v>System 1</v>
      </c>
      <c r="G8" s="62" t="str">
        <f>IF($H8=0,"",VLOOKUP($H8,정원!$D:$G,4,FALSE))</f>
        <v>Service engineer</v>
      </c>
      <c r="H8" s="65" t="s">
        <v>182</v>
      </c>
      <c r="I8" s="73">
        <v>46412</v>
      </c>
      <c r="J8" s="73">
        <f t="shared" si="3"/>
        <v>46412</v>
      </c>
      <c r="K8" s="61"/>
      <c r="L8" s="61"/>
      <c r="M8" s="61"/>
      <c r="N8" s="61"/>
      <c r="O8" s="61"/>
      <c r="P8" s="61"/>
      <c r="Q8" s="61"/>
      <c r="AD8" s="64">
        <v>1</v>
      </c>
      <c r="AE8" s="64">
        <v>1</v>
      </c>
      <c r="AF8" s="64">
        <v>1</v>
      </c>
      <c r="AG8" s="64">
        <v>1</v>
      </c>
      <c r="AH8" s="64">
        <v>1</v>
      </c>
      <c r="AI8" s="64">
        <v>1</v>
      </c>
      <c r="AJ8" s="64">
        <v>1</v>
      </c>
      <c r="AK8" s="64">
        <v>1</v>
      </c>
      <c r="AL8" s="64">
        <v>1</v>
      </c>
      <c r="AM8" s="64">
        <v>1</v>
      </c>
      <c r="AN8" s="64">
        <v>1</v>
      </c>
      <c r="AO8" s="64">
        <v>1</v>
      </c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potential</v>
      </c>
      <c r="C9" s="31" t="str">
        <f>IF($D9=0,"",VLOOKUP($D9,'Project IO'!$B:$E,4,FALSE))</f>
        <v>Opportunty</v>
      </c>
      <c r="D9" s="62" t="str">
        <f t="shared" si="2"/>
        <v>HRS 9N Upgarde</v>
      </c>
      <c r="E9" s="62" t="str">
        <f>IF($H9=0,"",VLOOKUP($H9,정원!$D:$G,2,FALSE))</f>
        <v>NPI IS</v>
      </c>
      <c r="F9" s="62" t="str">
        <f>IF($H9=0,"",VLOOKUP($H9,정원!$D:$G,3,FALSE))</f>
        <v>Mechanical</v>
      </c>
      <c r="G9" s="62" t="str">
        <f>IF($H9=0,"",VLOOKUP($H9,정원!$D:$G,4,FALSE))</f>
        <v>Leader</v>
      </c>
      <c r="H9" s="65" t="s">
        <v>73</v>
      </c>
      <c r="I9" s="73">
        <v>46412</v>
      </c>
      <c r="J9" s="73">
        <f t="shared" si="3"/>
        <v>46412</v>
      </c>
      <c r="K9" s="61"/>
      <c r="L9" s="61"/>
      <c r="M9" s="61"/>
      <c r="N9" s="61"/>
      <c r="O9" s="61"/>
      <c r="P9" s="61"/>
      <c r="Q9" s="61"/>
      <c r="AD9" s="64">
        <v>0.1</v>
      </c>
      <c r="AE9" s="64">
        <v>0.1</v>
      </c>
      <c r="AF9" s="64">
        <v>0.1</v>
      </c>
      <c r="AG9" s="64">
        <v>0.1</v>
      </c>
      <c r="AH9" s="64">
        <v>0.3</v>
      </c>
      <c r="AI9" s="64">
        <v>0.3</v>
      </c>
      <c r="AJ9" s="64">
        <v>0.2</v>
      </c>
      <c r="AK9" s="64">
        <v>0.2</v>
      </c>
      <c r="AL9" s="64">
        <v>0.2</v>
      </c>
      <c r="AM9" s="64">
        <v>0.2</v>
      </c>
      <c r="AN9" s="64">
        <v>0.2</v>
      </c>
      <c r="AO9" s="64">
        <v>0.2</v>
      </c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potential</v>
      </c>
      <c r="C10" s="31" t="str">
        <f>IF($D10=0,"",VLOOKUP($D10,'Project IO'!$B:$E,4,FALSE))</f>
        <v>Opportunty</v>
      </c>
      <c r="D10" s="62" t="str">
        <f t="shared" si="2"/>
        <v>HRS 9N Upgarde</v>
      </c>
      <c r="E10" s="62" t="str">
        <f>IF($H10=0,"",VLOOKUP($H10,정원!$D:$G,2,FALSE))</f>
        <v>NPI IS</v>
      </c>
      <c r="F10" s="62" t="str">
        <f>IF($H10=0,"",VLOOKUP($H10,정원!$D:$G,3,FALSE))</f>
        <v>Mechanical</v>
      </c>
      <c r="G10" s="62" t="str">
        <f>IF($H10=0,"",VLOOKUP($H10,정원!$D:$G,4,FALSE))</f>
        <v>Mechanical engineer</v>
      </c>
      <c r="H10" s="65" t="s">
        <v>264</v>
      </c>
      <c r="I10" s="73">
        <v>46412</v>
      </c>
      <c r="J10" s="73">
        <f t="shared" si="3"/>
        <v>46412</v>
      </c>
      <c r="K10" s="61"/>
      <c r="L10" s="61"/>
      <c r="M10" s="61"/>
      <c r="N10" s="61"/>
      <c r="O10" s="61"/>
      <c r="P10" s="61"/>
      <c r="Q10" s="61"/>
      <c r="AD10" s="64">
        <v>0.5</v>
      </c>
      <c r="AE10" s="64">
        <v>0.5</v>
      </c>
      <c r="AF10" s="64">
        <v>0.5</v>
      </c>
      <c r="AG10" s="64">
        <v>0.5</v>
      </c>
      <c r="AH10" s="64">
        <v>1</v>
      </c>
      <c r="AI10" s="64">
        <v>1</v>
      </c>
      <c r="AJ10" s="64">
        <v>1</v>
      </c>
      <c r="AK10" s="64">
        <v>1</v>
      </c>
      <c r="AL10" s="64">
        <v>1</v>
      </c>
      <c r="AM10" s="64">
        <v>1</v>
      </c>
      <c r="AN10" s="64">
        <v>1</v>
      </c>
      <c r="AO10" s="64">
        <v>1</v>
      </c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potential</v>
      </c>
      <c r="C11" s="31" t="str">
        <f>IF($D11=0,"",VLOOKUP($D11,'Project IO'!$B:$E,4,FALSE))</f>
        <v>Opportunty</v>
      </c>
      <c r="D11" s="62" t="str">
        <f t="shared" si="2"/>
        <v>HRS 9N Upgarde</v>
      </c>
      <c r="E11" s="62" t="str">
        <f>IF($H11=0,"",VLOOKUP($H11,정원!$D:$G,2,FALSE))</f>
        <v>Control Eng.</v>
      </c>
      <c r="F11" s="62" t="str">
        <f>IF($H11=0,"",VLOOKUP($H11,정원!$D:$G,3,FALSE))</f>
        <v>* Manager</v>
      </c>
      <c r="G11" s="62" t="str">
        <f>IF($H11=0,"",VLOOKUP($H11,정원!$D:$G,4,FALSE))</f>
        <v>* Manager</v>
      </c>
      <c r="H11" s="61" t="s">
        <v>75</v>
      </c>
      <c r="I11" s="73">
        <v>46412</v>
      </c>
      <c r="J11" s="73">
        <f t="shared" si="3"/>
        <v>46412</v>
      </c>
      <c r="K11" s="61"/>
      <c r="L11" s="61"/>
      <c r="M11" s="61"/>
      <c r="N11" s="61"/>
      <c r="O11" s="61"/>
      <c r="P11" s="61"/>
      <c r="Q11" s="61"/>
      <c r="AD11" s="61">
        <v>0.1</v>
      </c>
      <c r="AE11" s="61">
        <v>0.1</v>
      </c>
      <c r="AF11" s="61">
        <v>0.1</v>
      </c>
      <c r="AG11" s="61">
        <v>0.1</v>
      </c>
      <c r="AH11" s="61">
        <v>0.1</v>
      </c>
      <c r="AI11" s="61">
        <v>0.1</v>
      </c>
      <c r="AJ11" s="61">
        <v>0.1</v>
      </c>
      <c r="AK11" s="61">
        <v>0.1</v>
      </c>
      <c r="AL11" s="61">
        <v>0.1</v>
      </c>
      <c r="AM11" s="61">
        <v>0.1</v>
      </c>
      <c r="AN11" s="61">
        <v>0.1</v>
      </c>
      <c r="AO11" s="61">
        <v>0.1</v>
      </c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potential</v>
      </c>
      <c r="C12" s="31" t="str">
        <f>IF($D12=0,"",VLOOKUP($D12,'Project IO'!$B:$E,4,FALSE))</f>
        <v>Opportunty</v>
      </c>
      <c r="D12" s="62" t="str">
        <f t="shared" si="2"/>
        <v>HRS 9N Upgarde</v>
      </c>
      <c r="E12" s="62" t="str">
        <f>IF($H12=0,"",VLOOKUP($H12,정원!$D:$G,2,FALSE))</f>
        <v>Control Eng.</v>
      </c>
      <c r="F12" s="62" t="str">
        <f>IF($H12=0,"",VLOOKUP($H12,정원!$D:$G,3,FALSE))</f>
        <v>Software</v>
      </c>
      <c r="G12" s="62" t="str">
        <f>IF($H12=0,"",VLOOKUP($H12,정원!$D:$G,4,FALSE))</f>
        <v>Leader</v>
      </c>
      <c r="H12" s="61" t="s">
        <v>76</v>
      </c>
      <c r="I12" s="73">
        <v>46412</v>
      </c>
      <c r="J12" s="73">
        <f t="shared" si="3"/>
        <v>46412</v>
      </c>
      <c r="K12" s="61"/>
      <c r="L12" s="61"/>
      <c r="M12" s="61"/>
      <c r="N12" s="61"/>
      <c r="O12" s="61"/>
      <c r="P12" s="61"/>
      <c r="Q12" s="61"/>
      <c r="AD12" s="61"/>
      <c r="AE12" s="61"/>
      <c r="AF12" s="61"/>
      <c r="AG12" s="61"/>
      <c r="AH12" s="61">
        <v>0.1</v>
      </c>
      <c r="AI12" s="61">
        <v>0.1</v>
      </c>
      <c r="AJ12" s="61">
        <v>0.1</v>
      </c>
      <c r="AK12" s="61">
        <v>0.1</v>
      </c>
      <c r="AL12" s="61">
        <v>0.1</v>
      </c>
      <c r="AM12" s="61">
        <v>0.1</v>
      </c>
      <c r="AN12" s="61">
        <v>0.1</v>
      </c>
      <c r="AO12" s="61">
        <v>0.1</v>
      </c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potential</v>
      </c>
      <c r="C13" s="31" t="str">
        <f>IF($D13=0,"",VLOOKUP($D13,'Project IO'!$B:$E,4,FALSE))</f>
        <v>Opportunty</v>
      </c>
      <c r="D13" s="62" t="str">
        <f t="shared" si="2"/>
        <v>HRS 9N Upgarde</v>
      </c>
      <c r="E13" s="62" t="str">
        <f>IF($H13=0,"",VLOOKUP($H13,정원!$D:$G,2,FALSE))</f>
        <v>Control Eng.</v>
      </c>
      <c r="F13" s="62" t="str">
        <f>IF($H13=0,"",VLOOKUP($H13,정원!$D:$G,3,FALSE))</f>
        <v>Software</v>
      </c>
      <c r="G13" s="62" t="str">
        <f>IF($H13=0,"",VLOOKUP($H13,정원!$D:$G,4,FALSE))</f>
        <v>Software engineer</v>
      </c>
      <c r="H13" s="66" t="s">
        <v>77</v>
      </c>
      <c r="I13" s="73">
        <v>46412</v>
      </c>
      <c r="J13" s="73">
        <f t="shared" si="3"/>
        <v>46412</v>
      </c>
      <c r="K13" s="61"/>
      <c r="L13" s="61"/>
      <c r="M13" s="61"/>
      <c r="N13" s="61"/>
      <c r="O13" s="61"/>
      <c r="P13" s="61"/>
      <c r="Q13" s="61"/>
      <c r="AD13" s="61">
        <v>0.5</v>
      </c>
      <c r="AE13" s="61">
        <v>0.5</v>
      </c>
      <c r="AF13" s="61">
        <v>0.5</v>
      </c>
      <c r="AG13" s="61">
        <v>0.5</v>
      </c>
      <c r="AH13" s="61">
        <v>0.5</v>
      </c>
      <c r="AI13" s="61">
        <v>0.5</v>
      </c>
      <c r="AJ13" s="61">
        <v>0.5</v>
      </c>
      <c r="AK13" s="61">
        <v>0.5</v>
      </c>
      <c r="AL13" s="61">
        <v>0.5</v>
      </c>
      <c r="AM13" s="61">
        <v>0.5</v>
      </c>
      <c r="AN13" s="61">
        <v>0.5</v>
      </c>
      <c r="AO13" s="61">
        <v>0.5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potential</v>
      </c>
      <c r="C14" s="31" t="str">
        <f>IF($D14=0,"",VLOOKUP($D14,'Project IO'!$B:$E,4,FALSE))</f>
        <v>Opportunty</v>
      </c>
      <c r="D14" s="62" t="str">
        <f t="shared" si="2"/>
        <v>HRS 9N Upgarde</v>
      </c>
      <c r="E14" s="62" t="str">
        <f>IF($H14=0,"",VLOOKUP($H14,정원!$D:$G,2,FALSE))</f>
        <v>Control Eng.</v>
      </c>
      <c r="F14" s="62" t="str">
        <f>IF($H14=0,"",VLOOKUP($H14,정원!$D:$G,3,FALSE))</f>
        <v>Software</v>
      </c>
      <c r="G14" s="62" t="str">
        <f>IF($H14=0,"",VLOOKUP($H14,정원!$D:$G,4,FALSE))</f>
        <v>SW test engineer</v>
      </c>
      <c r="H14" s="66" t="s">
        <v>78</v>
      </c>
      <c r="I14" s="73">
        <v>46412</v>
      </c>
      <c r="J14" s="73">
        <f t="shared" si="3"/>
        <v>46412</v>
      </c>
      <c r="K14" s="61"/>
      <c r="L14" s="61"/>
      <c r="M14" s="61"/>
      <c r="N14" s="61"/>
      <c r="O14" s="61"/>
      <c r="P14" s="61"/>
      <c r="Q14" s="61"/>
      <c r="AD14" s="61"/>
      <c r="AE14" s="61"/>
      <c r="AF14" s="61"/>
      <c r="AG14" s="61"/>
      <c r="AH14" s="61">
        <v>0.5</v>
      </c>
      <c r="AI14" s="61">
        <v>0.5</v>
      </c>
      <c r="AJ14" s="61">
        <v>0.5</v>
      </c>
      <c r="AK14" s="61">
        <v>0.5</v>
      </c>
      <c r="AL14" s="61">
        <v>0.5</v>
      </c>
      <c r="AM14" s="61">
        <v>0.5</v>
      </c>
      <c r="AN14" s="61">
        <v>0.5</v>
      </c>
      <c r="AO14" s="61">
        <v>0.5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spans="1:53">
      <c r="A15" s="61">
        <v>13</v>
      </c>
      <c r="B15" s="31" t="str">
        <f>IF($D15=0,"",VLOOKUP($D15,'Project IO'!$B:$E,3,FALSE))</f>
        <v>potential</v>
      </c>
      <c r="C15" s="31" t="str">
        <f>IF($D15=0,"",VLOOKUP($D15,'Project IO'!$B:$E,4,FALSE))</f>
        <v>Opportunty</v>
      </c>
      <c r="D15" s="62" t="str">
        <f t="shared" si="2"/>
        <v>HRS 9N Upgarde</v>
      </c>
      <c r="E15" s="62" t="str">
        <f>IF($H15=0,"",VLOOKUP($H15,정원!$D:$G,2,FALSE))</f>
        <v>Control Eng.</v>
      </c>
      <c r="F15" s="62" t="str">
        <f>IF($H15=0,"",VLOOKUP($H15,정원!$D:$G,3,FALSE))</f>
        <v>Electrical</v>
      </c>
      <c r="G15" s="62" t="str">
        <f>IF($H15=0,"",VLOOKUP($H15,정원!$D:$G,4,FALSE))</f>
        <v>Leader</v>
      </c>
      <c r="H15" s="61" t="s">
        <v>79</v>
      </c>
      <c r="I15" s="73">
        <v>46412</v>
      </c>
      <c r="J15" s="73">
        <f t="shared" si="3"/>
        <v>46412</v>
      </c>
      <c r="K15" s="61"/>
      <c r="L15" s="61"/>
      <c r="M15" s="61"/>
      <c r="N15" s="61"/>
      <c r="O15" s="61"/>
      <c r="P15" s="61"/>
      <c r="Q15" s="61"/>
      <c r="AD15" s="61">
        <v>0.2</v>
      </c>
      <c r="AE15" s="61">
        <v>0.2</v>
      </c>
      <c r="AF15" s="61">
        <v>0.2</v>
      </c>
      <c r="AG15" s="61">
        <v>0.2</v>
      </c>
      <c r="AH15" s="61">
        <v>0.2</v>
      </c>
      <c r="AI15" s="61">
        <v>0.2</v>
      </c>
      <c r="AJ15" s="61">
        <v>0.2</v>
      </c>
      <c r="AK15" s="61">
        <v>0.2</v>
      </c>
      <c r="AL15" s="61">
        <v>0.2</v>
      </c>
      <c r="AM15" s="61">
        <v>0.2</v>
      </c>
      <c r="AN15" s="61">
        <v>0.2</v>
      </c>
      <c r="AO15" s="61">
        <v>0.2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spans="1:53">
      <c r="A16" s="61">
        <v>14</v>
      </c>
      <c r="B16" s="31" t="str">
        <f>IF($D16=0,"",VLOOKUP($D16,'Project IO'!$B:$E,3,FALSE))</f>
        <v>potential</v>
      </c>
      <c r="C16" s="31" t="str">
        <f>IF($D16=0,"",VLOOKUP($D16,'Project IO'!$B:$E,4,FALSE))</f>
        <v>Opportunty</v>
      </c>
      <c r="D16" s="62" t="str">
        <f t="shared" si="2"/>
        <v>HRS 9N Upgarde</v>
      </c>
      <c r="E16" s="62" t="str">
        <f>IF($H16=0,"",VLOOKUP($H16,정원!$D:$G,2,FALSE))</f>
        <v>Control Eng.</v>
      </c>
      <c r="F16" s="62" t="str">
        <f>IF($H16=0,"",VLOOKUP($H16,정원!$D:$G,3,FALSE))</f>
        <v>Electrical</v>
      </c>
      <c r="G16" s="62" t="str">
        <f>IF($H16=0,"",VLOOKUP($H16,정원!$D:$G,4,FALSE))</f>
        <v>Electrical engineer</v>
      </c>
      <c r="H16" s="66" t="s">
        <v>289</v>
      </c>
      <c r="I16" s="73">
        <v>46412</v>
      </c>
      <c r="J16" s="73">
        <f t="shared" si="3"/>
        <v>46412</v>
      </c>
      <c r="K16" s="61"/>
      <c r="L16" s="61"/>
      <c r="M16" s="61"/>
      <c r="N16" s="61"/>
      <c r="O16" s="61"/>
      <c r="P16" s="61"/>
      <c r="Q16" s="61"/>
      <c r="AD16" s="61">
        <v>1</v>
      </c>
      <c r="AE16" s="61">
        <v>1</v>
      </c>
      <c r="AF16" s="61">
        <v>1</v>
      </c>
      <c r="AG16" s="61">
        <v>1</v>
      </c>
      <c r="AH16" s="61">
        <v>1</v>
      </c>
      <c r="AI16" s="61">
        <v>1</v>
      </c>
      <c r="AJ16" s="61">
        <v>1</v>
      </c>
      <c r="AK16" s="61">
        <v>1</v>
      </c>
      <c r="AL16" s="61">
        <v>1</v>
      </c>
      <c r="AM16" s="61">
        <v>1</v>
      </c>
      <c r="AN16" s="61">
        <v>1</v>
      </c>
      <c r="AO16" s="61">
        <v>1</v>
      </c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15</v>
      </c>
      <c r="B17" s="31" t="str">
        <f>IF($D17=0,"",VLOOKUP($D17,'Project IO'!$B:$E,3,FALSE))</f>
        <v>potential</v>
      </c>
      <c r="C17" s="31" t="str">
        <f>IF($D17=0,"",VLOOKUP($D17,'Project IO'!$B:$E,4,FALSE))</f>
        <v>Opportunty</v>
      </c>
      <c r="D17" s="62" t="str">
        <f t="shared" si="2"/>
        <v>HRS 9N Upgarde</v>
      </c>
      <c r="E17" s="62">
        <f>IF($H17=0,"",VLOOKUP($H17,정원!$D:$G,2,FALSE))</f>
        <v>0</v>
      </c>
      <c r="F17" s="62">
        <f>IF($H17=0,"",VLOOKUP($H17,정원!$D:$G,3,FALSE))</f>
        <v>0</v>
      </c>
      <c r="G17" s="62">
        <f>IF($H17=0,"",VLOOKUP($H17,정원!$D:$G,4,FALSE))</f>
        <v>0</v>
      </c>
      <c r="H17" s="66" t="s">
        <v>81</v>
      </c>
      <c r="I17" s="73">
        <v>46412</v>
      </c>
      <c r="J17" s="73">
        <f t="shared" si="3"/>
        <v>46412</v>
      </c>
      <c r="K17" s="61"/>
      <c r="L17" s="61"/>
      <c r="M17" s="61"/>
      <c r="N17" s="61"/>
      <c r="O17" s="61"/>
      <c r="P17" s="61"/>
      <c r="Q17" s="61"/>
      <c r="AD17" s="61" t="s">
        <v>301</v>
      </c>
      <c r="AF17" s="61"/>
      <c r="AG17" s="61"/>
      <c r="AH17" s="61"/>
      <c r="AI17" s="61"/>
      <c r="AJ17" s="61" t="s">
        <v>291</v>
      </c>
      <c r="AL17" s="61"/>
      <c r="AM17" s="61"/>
      <c r="AN17" s="61"/>
      <c r="AO17" s="61" t="s">
        <v>313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</sheetData>
  <phoneticPr fontId="1" type="noConversion"/>
  <dataValidations count="2">
    <dataValidation type="list" allowBlank="1" showInputMessage="1" showErrorMessage="1" sqref="E18:E1048576" xr:uid="{7F391B65-20B7-4B84-9E31-315963F13224}">
      <formula1>"Engineering, PMO, System engineering, Control Engineering"</formula1>
    </dataValidation>
    <dataValidation type="list" allowBlank="1" showInputMessage="1" showErrorMessage="1" sqref="F18:F1048576" xr:uid="{E1B2D09D-3631-48D4-BCA0-BABA8E96229C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D866B0-CDB6-47BC-BBAC-03A52F04EADA}">
          <x14:formula1>
            <xm:f>'Project IO'!$B$4:$B$101</xm:f>
          </x14:formula1>
          <xm:sqref>A1</xm:sqref>
        </x14:dataValidation>
        <x14:dataValidation type="list" allowBlank="1" showInputMessage="1" showErrorMessage="1" xr:uid="{9144CAE6-10A9-4CCC-A107-0117A3E6CDE2}">
          <x14:formula1>
            <xm:f>정원!$D:$D</xm:f>
          </x14:formula1>
          <xm:sqref>H3:H1048576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EFCB-18B8-49DF-ABC7-8CCEE6498732}">
  <sheetPr>
    <tabColor theme="6" tint="0.79998168889431442"/>
  </sheetPr>
  <dimension ref="A1:BA26"/>
  <sheetViews>
    <sheetView topLeftCell="G1" workbookViewId="0">
      <selection activeCell="AA24" sqref="AA24"/>
    </sheetView>
  </sheetViews>
  <sheetFormatPr defaultColWidth="9" defaultRowHeight="16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8" style="51" bestFit="1" customWidth="1"/>
    <col min="6" max="6" width="19.125" style="51" bestFit="1" customWidth="1"/>
    <col min="7" max="7" width="17.625" style="51" bestFit="1" customWidth="1"/>
    <col min="8" max="8" width="1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53" ht="27" customHeight="1">
      <c r="A1" s="48" t="s">
        <v>222</v>
      </c>
      <c r="B1" s="49" t="str">
        <f>IF($A$1=0,"",VLOOKUP(A1,'Project IO'!$B$4:$C$101,2,FALSE))</f>
        <v>TBC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BA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>SUM(R3:R1048576)</f>
        <v>0</v>
      </c>
      <c r="S1" s="51">
        <f>SUM(S3:S1048576)</f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>SUM(X3:X1048576)</f>
        <v>0</v>
      </c>
      <c r="Y1" s="51">
        <f t="shared" si="0"/>
        <v>0</v>
      </c>
      <c r="Z1" s="51">
        <f t="shared" si="0"/>
        <v>7.8</v>
      </c>
      <c r="AA1" s="51">
        <f t="shared" si="0"/>
        <v>7.8</v>
      </c>
      <c r="AB1" s="51">
        <f t="shared" si="0"/>
        <v>7.8</v>
      </c>
      <c r="AC1" s="51">
        <f t="shared" si="0"/>
        <v>7.8</v>
      </c>
      <c r="AD1" s="51">
        <f t="shared" si="0"/>
        <v>10.899999999999999</v>
      </c>
      <c r="AE1" s="51">
        <f t="shared" si="0"/>
        <v>10.899999999999999</v>
      </c>
      <c r="AF1" s="51">
        <f t="shared" si="0"/>
        <v>12.299999999999997</v>
      </c>
      <c r="AG1" s="51">
        <f t="shared" si="0"/>
        <v>13.299999999999997</v>
      </c>
      <c r="AH1" s="51">
        <f t="shared" si="0"/>
        <v>13.499999999999996</v>
      </c>
      <c r="AI1" s="51">
        <f t="shared" si="0"/>
        <v>13.499999999999996</v>
      </c>
      <c r="AJ1" s="51">
        <f t="shared" si="0"/>
        <v>13.499999999999996</v>
      </c>
      <c r="AK1" s="51">
        <f t="shared" si="0"/>
        <v>13.499999999999996</v>
      </c>
      <c r="AL1" s="51">
        <f t="shared" si="0"/>
        <v>13.499999999999996</v>
      </c>
      <c r="AM1" s="51">
        <f t="shared" si="0"/>
        <v>13.2</v>
      </c>
      <c r="AN1" s="51">
        <f t="shared" si="0"/>
        <v>13.099999999999998</v>
      </c>
      <c r="AO1" s="51">
        <f t="shared" si="0"/>
        <v>13.099999999999998</v>
      </c>
      <c r="AP1" s="51">
        <f>SUM(AP3:AP1048576)</f>
        <v>13.099999999999998</v>
      </c>
      <c r="AQ1" s="51">
        <f>SUM(AQ3:AQ1048576)</f>
        <v>13.099999999999998</v>
      </c>
      <c r="AR1" s="51">
        <f t="shared" si="0"/>
        <v>13.099999999999998</v>
      </c>
      <c r="AS1" s="51">
        <f t="shared" ref="AS1:AX1" si="1">SUM(AS3:AS1048576)</f>
        <v>12.5</v>
      </c>
      <c r="AT1" s="51">
        <f t="shared" si="1"/>
        <v>11.399999999999999</v>
      </c>
      <c r="AU1" s="51">
        <f t="shared" si="1"/>
        <v>11.399999999999999</v>
      </c>
      <c r="AV1" s="51">
        <f t="shared" si="1"/>
        <v>11.399999999999999</v>
      </c>
      <c r="AW1" s="51">
        <f t="shared" si="1"/>
        <v>11.399999999999999</v>
      </c>
      <c r="AX1" s="51">
        <f t="shared" si="1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69" t="s">
        <v>86</v>
      </c>
      <c r="I2" s="70" t="s">
        <v>64</v>
      </c>
      <c r="J2" s="70" t="s">
        <v>65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3">
      <c r="A3" s="61">
        <v>1</v>
      </c>
      <c r="B3" s="31" t="str">
        <f>IF($D3=0,"",VLOOKUP($D3,'Project IO'!$B:$E,3,FALSE))</f>
        <v>potential</v>
      </c>
      <c r="C3" s="31" t="str">
        <f>IF($D3=0,"",VLOOKUP($D3,'Project IO'!$B:$E,4,FALSE))</f>
        <v>Lead</v>
      </c>
      <c r="D3" s="62" t="str">
        <f>$A$1</f>
        <v>CatOX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66</v>
      </c>
      <c r="I3" s="73">
        <v>46539</v>
      </c>
      <c r="J3" s="73">
        <v>46722</v>
      </c>
      <c r="K3" s="61"/>
      <c r="L3" s="61"/>
      <c r="M3" s="61"/>
      <c r="N3" s="61"/>
      <c r="O3" s="61"/>
      <c r="P3" s="61"/>
      <c r="Q3" s="61"/>
      <c r="R3" s="61"/>
      <c r="S3" s="61"/>
      <c r="T3" s="61"/>
      <c r="Z3" s="61">
        <v>0.1</v>
      </c>
      <c r="AA3" s="61">
        <v>0.1</v>
      </c>
      <c r="AB3" s="61">
        <v>0.1</v>
      </c>
      <c r="AC3" s="61">
        <v>0.1</v>
      </c>
      <c r="AD3" s="61">
        <v>0.1</v>
      </c>
      <c r="AE3" s="61">
        <v>0.1</v>
      </c>
      <c r="AF3" s="61">
        <v>0.1</v>
      </c>
      <c r="AG3" s="61">
        <v>0.1</v>
      </c>
      <c r="AH3" s="61">
        <v>0.1</v>
      </c>
      <c r="AI3" s="61">
        <v>0.1</v>
      </c>
      <c r="AJ3" s="61">
        <v>0.1</v>
      </c>
      <c r="AK3" s="61">
        <v>0.1</v>
      </c>
      <c r="AL3" s="61">
        <v>0.1</v>
      </c>
      <c r="AM3" s="61">
        <v>0.1</v>
      </c>
      <c r="AN3" s="61">
        <v>0.1</v>
      </c>
      <c r="AO3" s="61">
        <v>0.1</v>
      </c>
      <c r="AP3" s="61">
        <v>0.1</v>
      </c>
      <c r="AQ3" s="61">
        <v>0.1</v>
      </c>
      <c r="AR3" s="61">
        <v>0.1</v>
      </c>
      <c r="AS3" s="61">
        <v>0.1</v>
      </c>
      <c r="AT3" s="61">
        <v>0.1</v>
      </c>
      <c r="AU3" s="61">
        <v>0.1</v>
      </c>
      <c r="AV3" s="61">
        <v>0.1</v>
      </c>
      <c r="AW3" s="61">
        <v>0.1</v>
      </c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potential</v>
      </c>
      <c r="C4" s="31" t="str">
        <f>IF($D4=0,"",VLOOKUP($D4,'Project IO'!$B:$E,4,FALSE))</f>
        <v>Lead</v>
      </c>
      <c r="D4" s="62" t="str">
        <f>$A$1</f>
        <v>CatOX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67</v>
      </c>
      <c r="I4" s="73">
        <v>46539</v>
      </c>
      <c r="J4" s="73">
        <v>46722</v>
      </c>
      <c r="K4" s="61"/>
      <c r="L4" s="61"/>
      <c r="M4" s="61"/>
      <c r="N4" s="61"/>
      <c r="O4" s="61"/>
      <c r="P4" s="61"/>
      <c r="Q4" s="61"/>
      <c r="R4" s="61"/>
      <c r="S4" s="61"/>
      <c r="T4" s="61"/>
      <c r="Z4" s="61">
        <v>0.2</v>
      </c>
      <c r="AA4" s="61">
        <v>0.2</v>
      </c>
      <c r="AB4" s="61">
        <v>0.2</v>
      </c>
      <c r="AC4" s="61">
        <v>0.2</v>
      </c>
      <c r="AD4" s="61">
        <v>0.2</v>
      </c>
      <c r="AE4" s="61">
        <v>0.2</v>
      </c>
      <c r="AF4" s="61">
        <v>0.2</v>
      </c>
      <c r="AG4" s="61">
        <v>0.2</v>
      </c>
      <c r="AH4" s="61">
        <v>0.2</v>
      </c>
      <c r="AI4" s="61">
        <v>0.2</v>
      </c>
      <c r="AJ4" s="61">
        <v>0.2</v>
      </c>
      <c r="AK4" s="61">
        <v>0.2</v>
      </c>
      <c r="AL4" s="61">
        <v>0.2</v>
      </c>
      <c r="AM4" s="61">
        <v>0.2</v>
      </c>
      <c r="AN4" s="61">
        <v>0.2</v>
      </c>
      <c r="AO4" s="61">
        <v>0.2</v>
      </c>
      <c r="AP4" s="61">
        <v>0.2</v>
      </c>
      <c r="AQ4" s="61">
        <v>0.2</v>
      </c>
      <c r="AR4" s="61">
        <v>0.2</v>
      </c>
      <c r="AS4" s="61">
        <v>0.2</v>
      </c>
      <c r="AT4" s="61">
        <v>0.1</v>
      </c>
      <c r="AU4" s="61">
        <v>0.1</v>
      </c>
      <c r="AV4" s="61">
        <v>0.1</v>
      </c>
      <c r="AW4" s="61">
        <v>0.1</v>
      </c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potential</v>
      </c>
      <c r="C5" s="31" t="str">
        <f>IF($D5=0,"",VLOOKUP($D5,'Project IO'!$B:$E,4,FALSE))</f>
        <v>Lead</v>
      </c>
      <c r="D5" s="62" t="str">
        <f t="shared" ref="D5:D24" si="2">$A$1</f>
        <v>CatOX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245</v>
      </c>
      <c r="I5" s="73">
        <v>46539</v>
      </c>
      <c r="J5" s="73">
        <v>46722</v>
      </c>
      <c r="K5" s="61"/>
      <c r="L5" s="61"/>
      <c r="M5" s="61"/>
      <c r="N5" s="61"/>
      <c r="O5" s="61"/>
      <c r="P5" s="61"/>
      <c r="Q5" s="61"/>
      <c r="R5" s="61"/>
      <c r="S5" s="61"/>
      <c r="T5" s="61"/>
      <c r="Z5" s="61">
        <v>1</v>
      </c>
      <c r="AA5" s="61">
        <v>1</v>
      </c>
      <c r="AB5" s="61">
        <v>1</v>
      </c>
      <c r="AC5" s="61">
        <v>1</v>
      </c>
      <c r="AD5" s="61">
        <v>1</v>
      </c>
      <c r="AE5" s="61">
        <v>1</v>
      </c>
      <c r="AF5" s="61">
        <v>1</v>
      </c>
      <c r="AG5" s="61">
        <v>1</v>
      </c>
      <c r="AH5" s="61">
        <v>1</v>
      </c>
      <c r="AI5" s="61">
        <v>1</v>
      </c>
      <c r="AJ5" s="61">
        <v>1</v>
      </c>
      <c r="AK5" s="61">
        <v>1</v>
      </c>
      <c r="AL5" s="61">
        <v>1</v>
      </c>
      <c r="AM5" s="61">
        <v>1</v>
      </c>
      <c r="AN5" s="61">
        <v>1</v>
      </c>
      <c r="AO5" s="61">
        <v>1</v>
      </c>
      <c r="AP5" s="61">
        <v>1</v>
      </c>
      <c r="AQ5" s="61">
        <v>1</v>
      </c>
      <c r="AR5" s="61">
        <v>1</v>
      </c>
      <c r="AS5" s="61">
        <v>1</v>
      </c>
      <c r="AT5" s="61">
        <v>1</v>
      </c>
      <c r="AU5" s="61">
        <v>1</v>
      </c>
      <c r="AV5" s="61">
        <v>1</v>
      </c>
      <c r="AW5" s="61">
        <v>1</v>
      </c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potential</v>
      </c>
      <c r="C6" s="31" t="str">
        <f>IF($D6=0,"",VLOOKUP($D6,'Project IO'!$B:$E,4,FALSE))</f>
        <v>Lead</v>
      </c>
      <c r="D6" s="62" t="str">
        <f t="shared" si="2"/>
        <v>CatOX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69</v>
      </c>
      <c r="I6" s="73">
        <v>46539</v>
      </c>
      <c r="J6" s="73">
        <v>46722</v>
      </c>
      <c r="K6" s="61"/>
      <c r="L6" s="61"/>
      <c r="M6" s="61"/>
      <c r="N6" s="61"/>
      <c r="O6" s="61"/>
      <c r="P6" s="61"/>
      <c r="Q6" s="61"/>
      <c r="R6" s="61"/>
      <c r="S6" s="61"/>
      <c r="T6" s="61"/>
      <c r="Z6" s="61">
        <v>0.2</v>
      </c>
      <c r="AA6" s="61">
        <v>0.2</v>
      </c>
      <c r="AB6" s="61">
        <v>0.2</v>
      </c>
      <c r="AC6" s="61">
        <v>0.2</v>
      </c>
      <c r="AD6" s="61">
        <v>0.3</v>
      </c>
      <c r="AE6" s="61">
        <v>0.3</v>
      </c>
      <c r="AF6" s="61">
        <v>0.3</v>
      </c>
      <c r="AG6" s="61">
        <v>0.3</v>
      </c>
      <c r="AH6" s="61">
        <v>0.3</v>
      </c>
      <c r="AI6" s="61">
        <v>0.3</v>
      </c>
      <c r="AJ6" s="61">
        <v>0.3</v>
      </c>
      <c r="AK6" s="61">
        <v>0.3</v>
      </c>
      <c r="AL6" s="61">
        <v>0.3</v>
      </c>
      <c r="AM6" s="61">
        <v>0.3</v>
      </c>
      <c r="AN6" s="61">
        <v>0.3</v>
      </c>
      <c r="AO6" s="61">
        <v>0.3</v>
      </c>
      <c r="AP6" s="61">
        <v>0.3</v>
      </c>
      <c r="AQ6" s="61">
        <v>0.3</v>
      </c>
      <c r="AR6" s="61">
        <v>0.3</v>
      </c>
      <c r="AS6" s="61"/>
      <c r="AT6" s="61"/>
      <c r="AU6" s="61"/>
      <c r="AV6" s="61"/>
      <c r="AW6" s="61"/>
      <c r="AX6" s="61"/>
      <c r="AY6" s="61"/>
      <c r="AZ6" s="61"/>
      <c r="BA6" s="61"/>
    </row>
    <row r="7" spans="1:53">
      <c r="A7" s="61">
        <v>5</v>
      </c>
      <c r="B7" s="31" t="str">
        <f>IF($D7=0,"",VLOOKUP($D7,'Project IO'!$B:$E,3,FALSE))</f>
        <v>potential</v>
      </c>
      <c r="C7" s="31" t="str">
        <f>IF($D7=0,"",VLOOKUP($D7,'Project IO'!$B:$E,4,FALSE))</f>
        <v>Lead</v>
      </c>
      <c r="D7" s="62" t="str">
        <f t="shared" si="2"/>
        <v>CatOX</v>
      </c>
      <c r="E7" s="62" t="str">
        <f>IF($H7=0,"",VLOOKUP($H7,정원!$D:$G,2,FALSE))</f>
        <v>NPI IS</v>
      </c>
      <c r="F7" s="62" t="str">
        <f>IF($H7=0,"",VLOOKUP($H7,정원!$D:$G,3,FALSE))</f>
        <v>System 1</v>
      </c>
      <c r="G7" s="62" t="str">
        <f>IF($H7=0,"",VLOOKUP($H7,정원!$D:$G,4,FALSE))</f>
        <v>Tech Lead</v>
      </c>
      <c r="H7" s="65" t="s">
        <v>187</v>
      </c>
      <c r="I7" s="73">
        <v>46539</v>
      </c>
      <c r="J7" s="73">
        <v>46722</v>
      </c>
      <c r="K7" s="61"/>
      <c r="L7" s="61"/>
      <c r="M7" s="61"/>
      <c r="N7" s="61"/>
      <c r="O7" s="61"/>
      <c r="P7" s="61"/>
      <c r="Q7" s="61"/>
      <c r="R7" s="61"/>
      <c r="S7" s="61"/>
      <c r="T7" s="61"/>
      <c r="Z7" s="61">
        <v>1</v>
      </c>
      <c r="AA7" s="61">
        <v>1</v>
      </c>
      <c r="AB7" s="61">
        <v>1</v>
      </c>
      <c r="AC7" s="61">
        <v>1</v>
      </c>
      <c r="AD7" s="61">
        <v>1</v>
      </c>
      <c r="AE7" s="61">
        <v>1</v>
      </c>
      <c r="AF7" s="61">
        <v>1</v>
      </c>
      <c r="AG7" s="61">
        <v>1</v>
      </c>
      <c r="AH7" s="61">
        <v>1</v>
      </c>
      <c r="AI7" s="61">
        <v>1</v>
      </c>
      <c r="AJ7" s="61">
        <v>1</v>
      </c>
      <c r="AK7" s="61">
        <v>1</v>
      </c>
      <c r="AL7" s="61">
        <v>1</v>
      </c>
      <c r="AM7" s="61">
        <v>1</v>
      </c>
      <c r="AN7" s="61">
        <v>1</v>
      </c>
      <c r="AO7" s="61">
        <v>1</v>
      </c>
      <c r="AP7" s="61">
        <v>1</v>
      </c>
      <c r="AQ7" s="61">
        <v>1</v>
      </c>
      <c r="AR7" s="61">
        <v>1</v>
      </c>
      <c r="AS7" s="61">
        <v>1</v>
      </c>
      <c r="AT7" s="61">
        <v>1</v>
      </c>
      <c r="AU7" s="61">
        <v>1</v>
      </c>
      <c r="AV7" s="61">
        <v>1</v>
      </c>
      <c r="AW7" s="61">
        <v>1</v>
      </c>
      <c r="AX7" s="61"/>
      <c r="AY7" s="61"/>
      <c r="AZ7" s="61"/>
      <c r="BA7" s="61"/>
    </row>
    <row r="8" spans="1:53">
      <c r="A8" s="61">
        <v>6</v>
      </c>
      <c r="B8" s="31" t="str">
        <f>IF($D8=0,"",VLOOKUP($D8,'Project IO'!$B:$E,3,FALSE))</f>
        <v>potential</v>
      </c>
      <c r="C8" s="31" t="str">
        <f>IF($D8=0,"",VLOOKUP($D8,'Project IO'!$B:$E,4,FALSE))</f>
        <v>Lead</v>
      </c>
      <c r="D8" s="62" t="str">
        <f t="shared" si="2"/>
        <v>CatOX</v>
      </c>
      <c r="E8" s="62" t="str">
        <f>IF($H8=0,"",VLOOKUP($H8,정원!$D:$G,2,FALSE))</f>
        <v>NPI IS</v>
      </c>
      <c r="F8" s="62" t="str">
        <f>IF($H8=0,"",VLOOKUP($H8,정원!$D:$G,3,FALSE))</f>
        <v>System 2</v>
      </c>
      <c r="G8" s="62" t="str">
        <f>IF($H8=0,"",VLOOKUP($H8,정원!$D:$G,4,FALSE))</f>
        <v>System engineer</v>
      </c>
      <c r="H8" s="65" t="s">
        <v>191</v>
      </c>
      <c r="I8" s="73">
        <v>46539</v>
      </c>
      <c r="J8" s="73">
        <v>46722</v>
      </c>
      <c r="K8" s="61"/>
      <c r="L8" s="61"/>
      <c r="M8" s="61"/>
      <c r="N8" s="61"/>
      <c r="O8" s="61"/>
      <c r="P8" s="61"/>
      <c r="Q8" s="61"/>
      <c r="R8" s="61"/>
      <c r="S8" s="61"/>
      <c r="T8" s="61"/>
      <c r="Z8" s="61">
        <v>1</v>
      </c>
      <c r="AA8" s="61">
        <v>1</v>
      </c>
      <c r="AB8" s="61">
        <v>1</v>
      </c>
      <c r="AC8" s="61">
        <v>1</v>
      </c>
      <c r="AD8" s="61">
        <v>1</v>
      </c>
      <c r="AE8" s="61">
        <v>1</v>
      </c>
      <c r="AF8" s="61">
        <v>1</v>
      </c>
      <c r="AG8" s="61">
        <v>1</v>
      </c>
      <c r="AH8" s="61">
        <v>1</v>
      </c>
      <c r="AI8" s="61">
        <v>1</v>
      </c>
      <c r="AJ8" s="61">
        <v>1</v>
      </c>
      <c r="AK8" s="61">
        <v>1</v>
      </c>
      <c r="AL8" s="61">
        <v>1</v>
      </c>
      <c r="AM8" s="61">
        <v>1</v>
      </c>
      <c r="AN8" s="61">
        <v>1</v>
      </c>
      <c r="AO8" s="61">
        <v>1</v>
      </c>
      <c r="AP8" s="61">
        <v>1</v>
      </c>
      <c r="AQ8" s="61">
        <v>1</v>
      </c>
      <c r="AR8" s="61">
        <v>1</v>
      </c>
      <c r="AS8" s="61">
        <v>1</v>
      </c>
      <c r="AT8" s="61">
        <v>1</v>
      </c>
      <c r="AU8" s="61">
        <v>1</v>
      </c>
      <c r="AV8" s="61">
        <v>1</v>
      </c>
      <c r="AW8" s="61">
        <v>1</v>
      </c>
      <c r="AX8" s="61"/>
      <c r="AY8" s="61"/>
      <c r="AZ8" s="61"/>
      <c r="BA8" s="61"/>
    </row>
    <row r="9" spans="1:53">
      <c r="A9" s="61">
        <v>7</v>
      </c>
      <c r="B9" s="31" t="str">
        <f>IF($D9=0,"",VLOOKUP($D9,'Project IO'!$B:$E,3,FALSE))</f>
        <v>potential</v>
      </c>
      <c r="C9" s="31" t="str">
        <f>IF($D9=0,"",VLOOKUP($D9,'Project IO'!$B:$E,4,FALSE))</f>
        <v>Lead</v>
      </c>
      <c r="D9" s="62" t="str">
        <f t="shared" si="2"/>
        <v>CatOX</v>
      </c>
      <c r="E9" s="62" t="str">
        <f>IF($H9=0,"",VLOOKUP($H9,정원!$D:$G,2,FALSE))</f>
        <v>NPI IS</v>
      </c>
      <c r="F9" s="62" t="str">
        <f>IF($H9=0,"",VLOOKUP($H9,정원!$D:$G,3,FALSE))</f>
        <v>System □</v>
      </c>
      <c r="G9" s="62" t="str">
        <f>IF($H9=0,"",VLOOKUP($H9,정원!$D:$G,4,FALSE))</f>
        <v>System engineer</v>
      </c>
      <c r="H9" s="65" t="s">
        <v>71</v>
      </c>
      <c r="I9" s="73">
        <v>46539</v>
      </c>
      <c r="J9" s="73">
        <v>46722</v>
      </c>
      <c r="K9" s="61"/>
      <c r="L9" s="61"/>
      <c r="M9" s="61"/>
      <c r="N9" s="61"/>
      <c r="O9" s="61"/>
      <c r="P9" s="61"/>
      <c r="Q9" s="61"/>
      <c r="R9" s="61"/>
      <c r="S9" s="61"/>
      <c r="T9" s="61"/>
      <c r="Z9" s="61">
        <v>0.5</v>
      </c>
      <c r="AA9" s="61">
        <v>0.5</v>
      </c>
      <c r="AB9" s="61">
        <v>0.5</v>
      </c>
      <c r="AC9" s="61">
        <v>0.5</v>
      </c>
      <c r="AD9" s="61">
        <v>1</v>
      </c>
      <c r="AE9" s="61">
        <v>1</v>
      </c>
      <c r="AF9" s="61">
        <v>1</v>
      </c>
      <c r="AG9" s="61">
        <v>1</v>
      </c>
      <c r="AH9" s="61">
        <v>1</v>
      </c>
      <c r="AI9" s="61">
        <v>1</v>
      </c>
      <c r="AJ9" s="61">
        <v>1</v>
      </c>
      <c r="AK9" s="61">
        <v>1</v>
      </c>
      <c r="AL9" s="61">
        <v>1</v>
      </c>
      <c r="AM9" s="61">
        <v>1</v>
      </c>
      <c r="AN9" s="61">
        <v>1</v>
      </c>
      <c r="AO9" s="61">
        <v>1</v>
      </c>
      <c r="AP9" s="61">
        <v>1</v>
      </c>
      <c r="AQ9" s="61">
        <v>1</v>
      </c>
      <c r="AR9" s="61">
        <v>1</v>
      </c>
      <c r="AS9" s="61">
        <v>1</v>
      </c>
      <c r="AT9" s="61">
        <v>1</v>
      </c>
      <c r="AU9" s="61">
        <v>1</v>
      </c>
      <c r="AV9" s="61">
        <v>1</v>
      </c>
      <c r="AW9" s="61">
        <v>1</v>
      </c>
      <c r="AX9" s="61"/>
      <c r="AY9" s="61"/>
      <c r="AZ9" s="61"/>
      <c r="BA9" s="61"/>
    </row>
    <row r="10" spans="1:53">
      <c r="A10" s="61">
        <v>8</v>
      </c>
      <c r="B10" s="31" t="str">
        <f>IF($D10=0,"",VLOOKUP($D10,'Project IO'!$B:$E,3,FALSE))</f>
        <v>potential</v>
      </c>
      <c r="C10" s="31" t="str">
        <f>IF($D10=0,"",VLOOKUP($D10,'Project IO'!$B:$E,4,FALSE))</f>
        <v>Lead</v>
      </c>
      <c r="D10" s="62" t="str">
        <f t="shared" si="2"/>
        <v>CatOX</v>
      </c>
      <c r="E10" s="62" t="str">
        <f>IF($H10=0,"",VLOOKUP($H10,정원!$D:$G,2,FALSE))</f>
        <v>NPI IS</v>
      </c>
      <c r="F10" s="62" t="str">
        <f>IF($H10=0,"",VLOOKUP($H10,정원!$D:$G,3,FALSE))</f>
        <v>System 3</v>
      </c>
      <c r="G10" s="62" t="str">
        <f>IF($H10=0,"",VLOOKUP($H10,정원!$D:$G,4,FALSE))</f>
        <v>System engineer</v>
      </c>
      <c r="H10" s="65" t="s">
        <v>200</v>
      </c>
      <c r="I10" s="73">
        <v>46539</v>
      </c>
      <c r="J10" s="73">
        <v>46722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Z10" s="61"/>
      <c r="AA10" s="61"/>
      <c r="AB10" s="61"/>
      <c r="AC10" s="61"/>
      <c r="AD10" s="61">
        <v>1</v>
      </c>
      <c r="AE10" s="61">
        <v>1</v>
      </c>
      <c r="AF10" s="61">
        <v>1</v>
      </c>
      <c r="AG10" s="61">
        <v>1</v>
      </c>
      <c r="AH10" s="61">
        <v>1</v>
      </c>
      <c r="AI10" s="61">
        <v>1</v>
      </c>
      <c r="AJ10" s="61">
        <v>1</v>
      </c>
      <c r="AK10" s="61">
        <v>1</v>
      </c>
      <c r="AL10" s="61">
        <v>1</v>
      </c>
      <c r="AM10" s="61">
        <v>1</v>
      </c>
      <c r="AN10" s="61">
        <v>1</v>
      </c>
      <c r="AO10" s="61">
        <v>1</v>
      </c>
      <c r="AP10" s="61">
        <v>1</v>
      </c>
      <c r="AQ10" s="61">
        <v>1</v>
      </c>
      <c r="AR10" s="61">
        <v>1</v>
      </c>
      <c r="AS10" s="61">
        <v>1</v>
      </c>
      <c r="AT10" s="61">
        <v>1</v>
      </c>
      <c r="AU10" s="61">
        <v>1</v>
      </c>
      <c r="AV10" s="61">
        <v>1</v>
      </c>
      <c r="AW10" s="61">
        <v>1</v>
      </c>
      <c r="AX10" s="61"/>
      <c r="AY10" s="61"/>
      <c r="AZ10" s="61"/>
      <c r="BA10" s="61"/>
    </row>
    <row r="11" spans="1:53">
      <c r="A11" s="61">
        <v>9</v>
      </c>
      <c r="B11" s="31" t="str">
        <f>IF($D11=0,"",VLOOKUP($D11,'Project IO'!$B:$E,3,FALSE))</f>
        <v>potential</v>
      </c>
      <c r="C11" s="31" t="str">
        <f>IF($D11=0,"",VLOOKUP($D11,'Project IO'!$B:$E,4,FALSE))</f>
        <v>Lead</v>
      </c>
      <c r="D11" s="62" t="str">
        <f t="shared" si="2"/>
        <v>CatOX</v>
      </c>
      <c r="E11" s="62" t="str">
        <f>IF($H11=0,"",VLOOKUP($H11,정원!$D:$G,2,FALSE))</f>
        <v>NPI IS</v>
      </c>
      <c r="F11" s="62" t="str">
        <f>IF($H11=0,"",VLOOKUP($H11,정원!$D:$G,3,FALSE))</f>
        <v>System 1</v>
      </c>
      <c r="G11" s="62" t="str">
        <f>IF($H11=0,"",VLOOKUP($H11,정원!$D:$G,4,FALSE))</f>
        <v>Service engineer</v>
      </c>
      <c r="H11" s="65" t="s">
        <v>182</v>
      </c>
      <c r="I11" s="73">
        <v>46539</v>
      </c>
      <c r="J11" s="73">
        <v>46722</v>
      </c>
      <c r="K11" s="61"/>
      <c r="L11" s="61"/>
      <c r="M11" s="61"/>
      <c r="N11" s="61"/>
      <c r="O11" s="61"/>
      <c r="P11" s="61"/>
      <c r="Q11" s="61"/>
      <c r="R11" s="61"/>
      <c r="S11" s="61"/>
      <c r="T11" s="61"/>
      <c r="Z11" s="61"/>
      <c r="AA11" s="61"/>
      <c r="AB11" s="61"/>
      <c r="AC11" s="61"/>
      <c r="AD11" s="61"/>
      <c r="AE11" s="61"/>
      <c r="AF11" s="61">
        <v>1</v>
      </c>
      <c r="AG11" s="61">
        <v>1</v>
      </c>
      <c r="AH11" s="61">
        <v>1</v>
      </c>
      <c r="AI11" s="61">
        <v>1</v>
      </c>
      <c r="AJ11" s="61">
        <v>1</v>
      </c>
      <c r="AK11" s="61">
        <v>1</v>
      </c>
      <c r="AL11" s="61">
        <v>1</v>
      </c>
      <c r="AM11" s="61">
        <v>1</v>
      </c>
      <c r="AN11" s="61">
        <v>1</v>
      </c>
      <c r="AO11" s="61">
        <v>1</v>
      </c>
      <c r="AP11" s="61">
        <v>1</v>
      </c>
      <c r="AQ11" s="61">
        <v>1</v>
      </c>
      <c r="AR11" s="61">
        <v>1</v>
      </c>
      <c r="AS11" s="61">
        <v>1</v>
      </c>
      <c r="AT11" s="61">
        <v>1</v>
      </c>
      <c r="AU11" s="61">
        <v>1</v>
      </c>
      <c r="AV11" s="61">
        <v>1</v>
      </c>
      <c r="AW11" s="61">
        <v>1</v>
      </c>
      <c r="AX11" s="61"/>
      <c r="AY11" s="61"/>
      <c r="AZ11" s="61"/>
      <c r="BA11" s="61"/>
    </row>
    <row r="12" spans="1:53">
      <c r="A12" s="61">
        <v>10</v>
      </c>
      <c r="B12" s="31" t="str">
        <f>IF($D12=0,"",VLOOKUP($D12,'Project IO'!$B:$E,3,FALSE))</f>
        <v>potential</v>
      </c>
      <c r="C12" s="31" t="str">
        <f>IF($D12=0,"",VLOOKUP($D12,'Project IO'!$B:$E,4,FALSE))</f>
        <v>Lead</v>
      </c>
      <c r="D12" s="62" t="str">
        <f t="shared" si="2"/>
        <v>CatOX</v>
      </c>
      <c r="E12" s="62" t="str">
        <f>IF($H12=0,"",VLOOKUP($H12,정원!$D:$G,2,FALSE))</f>
        <v>NPI IS</v>
      </c>
      <c r="F12" s="62" t="str">
        <f>IF($H12=0,"",VLOOKUP($H12,정원!$D:$G,3,FALSE))</f>
        <v>System 1</v>
      </c>
      <c r="G12" s="62" t="str">
        <f>IF($H12=0,"",VLOOKUP($H12,정원!$D:$G,4,FALSE))</f>
        <v>Technician</v>
      </c>
      <c r="H12" s="65" t="s">
        <v>186</v>
      </c>
      <c r="I12" s="73">
        <v>46539</v>
      </c>
      <c r="J12" s="73">
        <v>46722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</row>
    <row r="13" spans="1:53">
      <c r="A13" s="61">
        <v>11</v>
      </c>
      <c r="B13" s="31" t="str">
        <f>IF($D13=0,"",VLOOKUP($D13,'Project IO'!$B:$E,3,FALSE))</f>
        <v>potential</v>
      </c>
      <c r="C13" s="31" t="str">
        <f>IF($D13=0,"",VLOOKUP($D13,'Project IO'!$B:$E,4,FALSE))</f>
        <v>Lead</v>
      </c>
      <c r="D13" s="62" t="str">
        <f t="shared" si="2"/>
        <v>CatOX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Leader</v>
      </c>
      <c r="H13" s="65" t="s">
        <v>73</v>
      </c>
      <c r="I13" s="73">
        <v>46539</v>
      </c>
      <c r="J13" s="73">
        <v>46722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Z13" s="61">
        <v>0.3</v>
      </c>
      <c r="AA13" s="61">
        <v>0.3</v>
      </c>
      <c r="AB13" s="61">
        <v>0.3</v>
      </c>
      <c r="AC13" s="61">
        <v>0.3</v>
      </c>
      <c r="AD13" s="61">
        <v>0.3</v>
      </c>
      <c r="AE13" s="61">
        <v>0.3</v>
      </c>
      <c r="AF13" s="61">
        <v>0.3</v>
      </c>
      <c r="AG13" s="61">
        <v>0.3</v>
      </c>
      <c r="AH13" s="61">
        <v>0.3</v>
      </c>
      <c r="AI13" s="61">
        <v>0.3</v>
      </c>
      <c r="AJ13" s="61">
        <v>0.3</v>
      </c>
      <c r="AK13" s="61">
        <v>0.3</v>
      </c>
      <c r="AL13" s="61">
        <v>0.3</v>
      </c>
      <c r="AM13" s="61">
        <v>0.2</v>
      </c>
      <c r="AN13" s="61">
        <v>0.1</v>
      </c>
      <c r="AO13" s="61">
        <v>0.1</v>
      </c>
      <c r="AP13" s="61">
        <v>0.1</v>
      </c>
      <c r="AQ13" s="61">
        <v>0.1</v>
      </c>
      <c r="AR13" s="61">
        <v>0.1</v>
      </c>
      <c r="AS13" s="61"/>
      <c r="AT13" s="61"/>
      <c r="AU13" s="61"/>
      <c r="AV13" s="61"/>
      <c r="AW13" s="61"/>
      <c r="AX13" s="61"/>
      <c r="AY13" s="61"/>
      <c r="AZ13" s="61"/>
      <c r="BA13" s="61"/>
    </row>
    <row r="14" spans="1:53">
      <c r="A14" s="61">
        <v>12</v>
      </c>
      <c r="B14" s="31" t="str">
        <f>IF($D14=0,"",VLOOKUP($D14,'Project IO'!$B:$E,3,FALSE))</f>
        <v>potential</v>
      </c>
      <c r="C14" s="31" t="str">
        <f>IF($D14=0,"",VLOOKUP($D14,'Project IO'!$B:$E,4,FALSE))</f>
        <v>Lead</v>
      </c>
      <c r="D14" s="62" t="str">
        <f t="shared" si="2"/>
        <v>CatOX</v>
      </c>
      <c r="E14" s="62" t="str">
        <f>IF($H14=0,"",VLOOKUP($H14,정원!$D:$G,2,FALSE))</f>
        <v>NPI IS</v>
      </c>
      <c r="F14" s="62" t="str">
        <f>IF($H14=0,"",VLOOKUP($H14,정원!$D:$G,3,FALSE))</f>
        <v>Mechanical</v>
      </c>
      <c r="G14" s="62" t="str">
        <f>IF($H14=0,"",VLOOKUP($H14,정원!$D:$G,4,FALSE))</f>
        <v>Mechanical engineer</v>
      </c>
      <c r="H14" s="65" t="s">
        <v>259</v>
      </c>
      <c r="I14" s="73">
        <v>46539</v>
      </c>
      <c r="J14" s="73">
        <v>46722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Z14" s="61">
        <v>1</v>
      </c>
      <c r="AA14" s="61">
        <v>1</v>
      </c>
      <c r="AB14" s="61">
        <v>1</v>
      </c>
      <c r="AC14" s="61">
        <v>1</v>
      </c>
      <c r="AD14" s="61">
        <v>1</v>
      </c>
      <c r="AE14" s="61">
        <v>1</v>
      </c>
      <c r="AF14" s="61">
        <v>1</v>
      </c>
      <c r="AG14" s="61">
        <v>1</v>
      </c>
      <c r="AH14" s="61">
        <v>1</v>
      </c>
      <c r="AI14" s="61">
        <v>1</v>
      </c>
      <c r="AJ14" s="61">
        <v>1</v>
      </c>
      <c r="AK14" s="61">
        <v>1</v>
      </c>
      <c r="AL14" s="61">
        <v>1</v>
      </c>
      <c r="AM14" s="61">
        <v>1</v>
      </c>
      <c r="AN14" s="61">
        <v>1</v>
      </c>
      <c r="AO14" s="61">
        <v>1</v>
      </c>
      <c r="AP14" s="61">
        <v>1</v>
      </c>
      <c r="AQ14" s="61">
        <v>1</v>
      </c>
      <c r="AR14" s="61">
        <v>1</v>
      </c>
      <c r="AS14" s="61">
        <v>1</v>
      </c>
      <c r="AT14" s="61">
        <v>1</v>
      </c>
      <c r="AU14" s="61">
        <v>1</v>
      </c>
      <c r="AV14" s="61">
        <v>1</v>
      </c>
      <c r="AW14" s="61">
        <v>1</v>
      </c>
      <c r="AX14" s="61"/>
      <c r="AY14" s="61"/>
      <c r="AZ14" s="61"/>
      <c r="BA14" s="61"/>
    </row>
    <row r="15" spans="1:53">
      <c r="A15" s="61">
        <v>13</v>
      </c>
      <c r="B15" s="31" t="str">
        <f>IF($D15=0,"",VLOOKUP($D15,'Project IO'!$B:$E,3,FALSE))</f>
        <v>potential</v>
      </c>
      <c r="C15" s="31" t="str">
        <f>IF($D15=0,"",VLOOKUP($D15,'Project IO'!$B:$E,4,FALSE))</f>
        <v>Lead</v>
      </c>
      <c r="D15" s="62" t="str">
        <f t="shared" si="2"/>
        <v>CatOX</v>
      </c>
      <c r="E15" s="62" t="str">
        <f>IF($H15=0,"",VLOOKUP($H15,정원!$D:$G,2,FALSE))</f>
        <v>NPI IS</v>
      </c>
      <c r="F15" s="62" t="str">
        <f>IF($H15=0,"",VLOOKUP($H15,정원!$D:$G,3,FALSE))</f>
        <v>Mechanical</v>
      </c>
      <c r="G15" s="62" t="str">
        <f>IF($H15=0,"",VLOOKUP($H15,정원!$D:$G,4,FALSE))</f>
        <v>Mechanical engineer</v>
      </c>
      <c r="H15" s="65" t="s">
        <v>74</v>
      </c>
      <c r="I15" s="73">
        <v>46539</v>
      </c>
      <c r="J15" s="73">
        <v>46722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Z15" s="61"/>
      <c r="AA15" s="61"/>
      <c r="AB15" s="61"/>
      <c r="AC15" s="61"/>
      <c r="AD15" s="61">
        <v>1</v>
      </c>
      <c r="AE15" s="61">
        <v>1</v>
      </c>
      <c r="AF15" s="61">
        <v>1</v>
      </c>
      <c r="AG15" s="61">
        <v>1</v>
      </c>
      <c r="AH15" s="61">
        <v>1</v>
      </c>
      <c r="AI15" s="61">
        <v>1</v>
      </c>
      <c r="AJ15" s="61">
        <v>1</v>
      </c>
      <c r="AK15" s="61">
        <v>1</v>
      </c>
      <c r="AL15" s="61">
        <v>1</v>
      </c>
      <c r="AM15" s="61">
        <v>1</v>
      </c>
      <c r="AN15" s="61">
        <v>1</v>
      </c>
      <c r="AO15" s="61">
        <v>1</v>
      </c>
      <c r="AP15" s="61">
        <v>1</v>
      </c>
      <c r="AQ15" s="61">
        <v>1</v>
      </c>
      <c r="AR15" s="61">
        <v>1</v>
      </c>
      <c r="AS15" s="61">
        <v>1</v>
      </c>
      <c r="AT15" s="61">
        <v>1</v>
      </c>
      <c r="AU15" s="61">
        <v>1</v>
      </c>
      <c r="AV15" s="61">
        <v>1</v>
      </c>
      <c r="AW15" s="61">
        <v>1</v>
      </c>
      <c r="AX15" s="61"/>
      <c r="AY15" s="61"/>
      <c r="AZ15" s="61"/>
      <c r="BA15" s="61"/>
    </row>
    <row r="16" spans="1:53">
      <c r="A16" s="61">
        <v>14</v>
      </c>
      <c r="B16" s="31" t="str">
        <f>IF($D16=0,"",VLOOKUP($D16,'Project IO'!$B:$E,3,FALSE))</f>
        <v>potential</v>
      </c>
      <c r="C16" s="31" t="str">
        <f>IF($D16=0,"",VLOOKUP($D16,'Project IO'!$B:$E,4,FALSE))</f>
        <v>Lead</v>
      </c>
      <c r="D16" s="62" t="str">
        <f t="shared" si="2"/>
        <v>CatOX</v>
      </c>
      <c r="E16" s="62" t="str">
        <f>IF($H16=0,"",VLOOKUP($H16,정원!$D:$G,2,FALSE))</f>
        <v>Control Eng.</v>
      </c>
      <c r="F16" s="62" t="str">
        <f>IF($H16=0,"",VLOOKUP($H16,정원!$D:$G,3,FALSE))</f>
        <v>* Manager</v>
      </c>
      <c r="G16" s="62" t="str">
        <f>IF($H16=0,"",VLOOKUP($H16,정원!$D:$G,4,FALSE))</f>
        <v>* Manager</v>
      </c>
      <c r="H16" s="61" t="s">
        <v>75</v>
      </c>
      <c r="I16" s="73">
        <v>46539</v>
      </c>
      <c r="J16" s="73">
        <v>46722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Z16" s="61">
        <v>0.2</v>
      </c>
      <c r="AA16" s="61">
        <v>0.2</v>
      </c>
      <c r="AB16" s="61">
        <v>0.2</v>
      </c>
      <c r="AC16" s="61">
        <v>0.2</v>
      </c>
      <c r="AD16" s="61">
        <v>0.2</v>
      </c>
      <c r="AE16" s="61">
        <v>0.2</v>
      </c>
      <c r="AF16" s="61">
        <v>0.1</v>
      </c>
      <c r="AG16" s="61">
        <v>0.1</v>
      </c>
      <c r="AH16" s="61">
        <v>0.2</v>
      </c>
      <c r="AI16" s="61">
        <v>0.2</v>
      </c>
      <c r="AJ16" s="61">
        <v>0.2</v>
      </c>
      <c r="AK16" s="61">
        <v>0.2</v>
      </c>
      <c r="AL16" s="61">
        <v>0.2</v>
      </c>
      <c r="AM16" s="61">
        <v>0.2</v>
      </c>
      <c r="AN16" s="61">
        <v>0.2</v>
      </c>
      <c r="AO16" s="61">
        <v>0.2</v>
      </c>
      <c r="AP16" s="61">
        <v>0.2</v>
      </c>
      <c r="AQ16" s="61">
        <v>0.2</v>
      </c>
      <c r="AR16" s="61">
        <v>0.2</v>
      </c>
      <c r="AS16" s="61">
        <v>0.2</v>
      </c>
      <c r="AT16" s="61">
        <v>0.2</v>
      </c>
      <c r="AU16" s="61">
        <v>0.2</v>
      </c>
      <c r="AV16" s="61">
        <v>0.2</v>
      </c>
      <c r="AW16" s="61">
        <v>0.2</v>
      </c>
      <c r="AX16" s="61"/>
      <c r="AY16" s="61"/>
      <c r="AZ16" s="61"/>
      <c r="BA16" s="61"/>
    </row>
    <row r="17" spans="1:53">
      <c r="A17" s="61">
        <v>15</v>
      </c>
      <c r="B17" s="31" t="str">
        <f>IF($D17=0,"",VLOOKUP($D17,'Project IO'!$B:$E,3,FALSE))</f>
        <v>potential</v>
      </c>
      <c r="C17" s="31" t="str">
        <f>IF($D17=0,"",VLOOKUP($D17,'Project IO'!$B:$E,4,FALSE))</f>
        <v>Lead</v>
      </c>
      <c r="D17" s="62" t="str">
        <f t="shared" si="2"/>
        <v>CatOX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Leader</v>
      </c>
      <c r="H17" s="61" t="s">
        <v>76</v>
      </c>
      <c r="I17" s="73">
        <v>46539</v>
      </c>
      <c r="J17" s="73">
        <v>46722</v>
      </c>
      <c r="K17" s="61"/>
      <c r="L17" s="61"/>
      <c r="M17" s="61"/>
      <c r="N17" s="61"/>
      <c r="O17" s="61"/>
      <c r="P17" s="61"/>
      <c r="Q17" s="61"/>
      <c r="R17" s="61"/>
      <c r="S17" s="61"/>
      <c r="T17" s="61"/>
      <c r="Z17" s="61">
        <v>0.1</v>
      </c>
      <c r="AA17" s="61">
        <v>0.1</v>
      </c>
      <c r="AB17" s="61">
        <v>0.1</v>
      </c>
      <c r="AC17" s="61">
        <v>0.1</v>
      </c>
      <c r="AD17" s="61">
        <v>0.1</v>
      </c>
      <c r="AE17" s="61">
        <v>0.1</v>
      </c>
      <c r="AF17" s="61">
        <v>0.1</v>
      </c>
      <c r="AG17" s="61">
        <v>0.1</v>
      </c>
      <c r="AH17" s="61">
        <v>0.2</v>
      </c>
      <c r="AI17" s="61">
        <v>0.2</v>
      </c>
      <c r="AJ17" s="61">
        <v>0.2</v>
      </c>
      <c r="AK17" s="61">
        <v>0.2</v>
      </c>
      <c r="AL17" s="61">
        <v>0.2</v>
      </c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16</v>
      </c>
      <c r="B18" s="31" t="str">
        <f>IF($D18=0,"",VLOOKUP($D18,'Project IO'!$B:$E,3,FALSE))</f>
        <v>potential</v>
      </c>
      <c r="C18" s="31" t="str">
        <f>IF($D18=0,"",VLOOKUP($D18,'Project IO'!$B:$E,4,FALSE))</f>
        <v>Lead</v>
      </c>
      <c r="D18" s="62" t="str">
        <f t="shared" si="2"/>
        <v>CatOX</v>
      </c>
      <c r="E18" s="62" t="str">
        <f>IF($H18=0,"",VLOOKUP($H18,정원!$D:$G,2,FALSE))</f>
        <v>Control Eng.</v>
      </c>
      <c r="F18" s="62" t="str">
        <f>IF($H18=0,"",VLOOKUP($H18,정원!$D:$G,3,FALSE))</f>
        <v>Software</v>
      </c>
      <c r="G18" s="62" t="str">
        <f>IF($H18=0,"",VLOOKUP($H18,정원!$D:$G,4,FALSE))</f>
        <v>Software engineer</v>
      </c>
      <c r="H18" s="66" t="s">
        <v>77</v>
      </c>
      <c r="I18" s="73">
        <v>46539</v>
      </c>
      <c r="J18" s="73">
        <v>46722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Z18" s="61">
        <v>1</v>
      </c>
      <c r="AA18" s="61">
        <v>1</v>
      </c>
      <c r="AB18" s="61">
        <v>1</v>
      </c>
      <c r="AC18" s="61">
        <v>1</v>
      </c>
      <c r="AD18" s="61">
        <v>1</v>
      </c>
      <c r="AE18" s="61">
        <v>1</v>
      </c>
      <c r="AF18" s="61">
        <v>1</v>
      </c>
      <c r="AG18" s="61">
        <v>1</v>
      </c>
      <c r="AH18" s="61">
        <v>1</v>
      </c>
      <c r="AI18" s="61">
        <v>1</v>
      </c>
      <c r="AJ18" s="61">
        <v>1</v>
      </c>
      <c r="AK18" s="61">
        <v>1</v>
      </c>
      <c r="AL18" s="61">
        <v>1</v>
      </c>
      <c r="AM18" s="61">
        <v>1</v>
      </c>
      <c r="AN18" s="61">
        <v>1</v>
      </c>
      <c r="AO18" s="61">
        <v>1</v>
      </c>
      <c r="AP18" s="61">
        <v>1</v>
      </c>
      <c r="AQ18" s="61">
        <v>1</v>
      </c>
      <c r="AR18" s="61">
        <v>1</v>
      </c>
      <c r="AS18" s="61">
        <v>1</v>
      </c>
      <c r="AT18" s="61">
        <v>1</v>
      </c>
      <c r="AU18" s="61">
        <v>1</v>
      </c>
      <c r="AV18" s="61">
        <v>1</v>
      </c>
      <c r="AW18" s="61">
        <v>1</v>
      </c>
      <c r="AX18" s="61"/>
      <c r="AY18" s="61"/>
      <c r="AZ18" s="61"/>
      <c r="BA18" s="61"/>
    </row>
    <row r="19" spans="1:53">
      <c r="A19" s="61">
        <v>17</v>
      </c>
      <c r="B19" s="31" t="str">
        <f>IF($D19=0,"",VLOOKUP($D19,'Project IO'!$B:$E,3,FALSE))</f>
        <v>potential</v>
      </c>
      <c r="C19" s="31" t="str">
        <f>IF($D19=0,"",VLOOKUP($D19,'Project IO'!$B:$E,4,FALSE))</f>
        <v>Lead</v>
      </c>
      <c r="D19" s="62" t="str">
        <f t="shared" si="2"/>
        <v>CatOX</v>
      </c>
      <c r="E19" s="62" t="str">
        <f>IF($H19=0,"",VLOOKUP($H19,정원!$D:$G,2,FALSE))</f>
        <v>Control Eng.</v>
      </c>
      <c r="F19" s="62" t="str">
        <f>IF($H19=0,"",VLOOKUP($H19,정원!$D:$G,3,FALSE))</f>
        <v>Software</v>
      </c>
      <c r="G19" s="62" t="str">
        <f>IF($H19=0,"",VLOOKUP($H19,정원!$D:$G,4,FALSE))</f>
        <v>Software engineer</v>
      </c>
      <c r="H19" s="66" t="s">
        <v>77</v>
      </c>
      <c r="I19" s="73">
        <v>46539</v>
      </c>
      <c r="J19" s="73">
        <v>46722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Z19" s="61">
        <v>0.5</v>
      </c>
      <c r="AA19" s="61">
        <v>0.5</v>
      </c>
      <c r="AB19" s="61">
        <v>0.5</v>
      </c>
      <c r="AC19" s="61">
        <v>0.5</v>
      </c>
      <c r="AD19" s="61">
        <v>0.5</v>
      </c>
      <c r="AE19" s="61">
        <v>0.5</v>
      </c>
      <c r="AF19" s="61">
        <v>0.5</v>
      </c>
      <c r="AG19" s="61">
        <v>0.5</v>
      </c>
      <c r="AH19" s="61">
        <v>0.5</v>
      </c>
      <c r="AI19" s="61">
        <v>0.5</v>
      </c>
      <c r="AJ19" s="61">
        <v>0.5</v>
      </c>
      <c r="AK19" s="61">
        <v>0.5</v>
      </c>
      <c r="AL19" s="61">
        <v>0.5</v>
      </c>
      <c r="AM19" s="61">
        <v>0.5</v>
      </c>
      <c r="AN19" s="61">
        <v>0.5</v>
      </c>
      <c r="AO19" s="61">
        <v>0.5</v>
      </c>
      <c r="AP19" s="61">
        <v>0.5</v>
      </c>
      <c r="AQ19" s="61">
        <v>0.5</v>
      </c>
      <c r="AR19" s="61">
        <v>0.5</v>
      </c>
      <c r="AS19" s="61">
        <v>0.5</v>
      </c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18</v>
      </c>
      <c r="B20" s="31" t="str">
        <f>IF($D20=0,"",VLOOKUP($D20,'Project IO'!$B:$E,3,FALSE))</f>
        <v>potential</v>
      </c>
      <c r="C20" s="31" t="str">
        <f>IF($D20=0,"",VLOOKUP($D20,'Project IO'!$B:$E,4,FALSE))</f>
        <v>Lead</v>
      </c>
      <c r="D20" s="62" t="str">
        <f t="shared" si="2"/>
        <v>CatOX</v>
      </c>
      <c r="E20" s="62" t="str">
        <f>IF($H20=0,"",VLOOKUP($H20,정원!$D:$G,2,FALSE))</f>
        <v>Control Eng.</v>
      </c>
      <c r="F20" s="62" t="str">
        <f>IF($H20=0,"",VLOOKUP($H20,정원!$D:$G,3,FALSE))</f>
        <v>Software</v>
      </c>
      <c r="G20" s="62" t="str">
        <f>IF($H20=0,"",VLOOKUP($H20,정원!$D:$G,4,FALSE))</f>
        <v>SW test engineer</v>
      </c>
      <c r="H20" s="66" t="s">
        <v>78</v>
      </c>
      <c r="I20" s="73">
        <v>46539</v>
      </c>
      <c r="J20" s="73">
        <v>46722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Z20" s="61"/>
      <c r="AA20" s="61"/>
      <c r="AB20" s="61"/>
      <c r="AC20" s="61"/>
      <c r="AD20" s="61"/>
      <c r="AE20" s="61"/>
      <c r="AF20" s="61"/>
      <c r="AG20" s="61">
        <v>1</v>
      </c>
      <c r="AH20" s="61">
        <v>1</v>
      </c>
      <c r="AI20" s="61">
        <v>1</v>
      </c>
      <c r="AJ20" s="61">
        <v>1</v>
      </c>
      <c r="AK20" s="61">
        <v>1</v>
      </c>
      <c r="AL20" s="61">
        <v>1</v>
      </c>
      <c r="AM20" s="61">
        <v>1</v>
      </c>
      <c r="AN20" s="61">
        <v>1</v>
      </c>
      <c r="AO20" s="61">
        <v>1</v>
      </c>
      <c r="AP20" s="61">
        <v>1</v>
      </c>
      <c r="AQ20" s="61">
        <v>1</v>
      </c>
      <c r="AR20" s="61">
        <v>1</v>
      </c>
      <c r="AS20" s="61">
        <v>1</v>
      </c>
      <c r="AT20" s="61">
        <v>1</v>
      </c>
      <c r="AU20" s="61">
        <v>1</v>
      </c>
      <c r="AV20" s="61">
        <v>1</v>
      </c>
      <c r="AW20" s="61">
        <v>1</v>
      </c>
      <c r="AX20" s="61"/>
      <c r="AY20" s="61"/>
      <c r="AZ20" s="61"/>
      <c r="BA20" s="61"/>
    </row>
    <row r="21" spans="1:53">
      <c r="A21" s="61">
        <v>19</v>
      </c>
      <c r="B21" s="31" t="str">
        <f>IF($D21=0,"",VLOOKUP($D21,'Project IO'!$B:$E,3,FALSE))</f>
        <v>potential</v>
      </c>
      <c r="C21" s="31" t="str">
        <f>IF($D21=0,"",VLOOKUP($D21,'Project IO'!$B:$E,4,FALSE))</f>
        <v>Lead</v>
      </c>
      <c r="D21" s="62" t="str">
        <f t="shared" si="2"/>
        <v>CatOX</v>
      </c>
      <c r="E21" s="62" t="str">
        <f>IF($H21=0,"",VLOOKUP($H21,정원!$D:$G,2,FALSE))</f>
        <v>Control Eng.</v>
      </c>
      <c r="F21" s="62" t="str">
        <f>IF($H21=0,"",VLOOKUP($H21,정원!$D:$G,3,FALSE))</f>
        <v>Electrical</v>
      </c>
      <c r="G21" s="62" t="str">
        <f>IF($H21=0,"",VLOOKUP($H21,정원!$D:$G,4,FALSE))</f>
        <v>Leader</v>
      </c>
      <c r="H21" s="61" t="s">
        <v>79</v>
      </c>
      <c r="I21" s="73">
        <v>46539</v>
      </c>
      <c r="J21" s="73">
        <v>46722</v>
      </c>
      <c r="K21" s="61"/>
      <c r="L21" s="61"/>
      <c r="M21" s="61"/>
      <c r="N21" s="61"/>
      <c r="O21" s="61"/>
      <c r="P21" s="61"/>
      <c r="Q21" s="61"/>
      <c r="R21" s="61"/>
      <c r="S21" s="61"/>
      <c r="T21" s="61"/>
      <c r="Z21" s="61">
        <v>0.2</v>
      </c>
      <c r="AA21" s="61">
        <v>0.2</v>
      </c>
      <c r="AB21" s="61">
        <v>0.2</v>
      </c>
      <c r="AC21" s="61">
        <v>0.2</v>
      </c>
      <c r="AD21" s="61">
        <v>0.2</v>
      </c>
      <c r="AE21" s="61">
        <v>0.2</v>
      </c>
      <c r="AF21" s="61">
        <v>0.2</v>
      </c>
      <c r="AG21" s="61">
        <v>0.2</v>
      </c>
      <c r="AH21" s="61">
        <v>0.2</v>
      </c>
      <c r="AI21" s="61">
        <v>0.2</v>
      </c>
      <c r="AJ21" s="61">
        <v>0.2</v>
      </c>
      <c r="AK21" s="61">
        <v>0.2</v>
      </c>
      <c r="AL21" s="61">
        <v>0.2</v>
      </c>
      <c r="AM21" s="61">
        <v>0.2</v>
      </c>
      <c r="AN21" s="61">
        <v>0.2</v>
      </c>
      <c r="AO21" s="61">
        <v>0.2</v>
      </c>
      <c r="AP21" s="61">
        <v>0.2</v>
      </c>
      <c r="AQ21" s="61">
        <v>0.2</v>
      </c>
      <c r="AR21" s="61">
        <v>0.2</v>
      </c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>
      <c r="A22" s="61">
        <v>20</v>
      </c>
      <c r="B22" s="31" t="str">
        <f>IF($D22=0,"",VLOOKUP($D22,'Project IO'!$B:$E,3,FALSE))</f>
        <v>potential</v>
      </c>
      <c r="C22" s="31" t="str">
        <f>IF($D22=0,"",VLOOKUP($D22,'Project IO'!$B:$E,4,FALSE))</f>
        <v>Lead</v>
      </c>
      <c r="D22" s="62" t="str">
        <f t="shared" si="2"/>
        <v>CatOX</v>
      </c>
      <c r="E22" s="62" t="str">
        <f>IF($H22=0,"",VLOOKUP($H22,정원!$D:$G,2,FALSE))</f>
        <v>Control Eng.</v>
      </c>
      <c r="F22" s="62" t="str">
        <f>IF($H22=0,"",VLOOKUP($H22,정원!$D:$G,3,FALSE))</f>
        <v>Electrical</v>
      </c>
      <c r="G22" s="62" t="str">
        <f>IF($H22=0,"",VLOOKUP($H22,정원!$D:$G,4,FALSE))</f>
        <v>Electrical engineer</v>
      </c>
      <c r="H22" s="66" t="s">
        <v>275</v>
      </c>
      <c r="I22" s="73">
        <v>46539</v>
      </c>
      <c r="J22" s="73">
        <v>46722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Z22" s="61">
        <v>0.5</v>
      </c>
      <c r="AA22" s="61">
        <v>0.5</v>
      </c>
      <c r="AB22" s="61">
        <v>0.5</v>
      </c>
      <c r="AC22" s="61">
        <v>0.5</v>
      </c>
      <c r="AD22" s="61">
        <v>1</v>
      </c>
      <c r="AE22" s="61">
        <v>1</v>
      </c>
      <c r="AF22" s="61">
        <v>1</v>
      </c>
      <c r="AG22" s="61">
        <v>1</v>
      </c>
      <c r="AH22" s="61">
        <v>1</v>
      </c>
      <c r="AI22" s="61">
        <v>1</v>
      </c>
      <c r="AJ22" s="61">
        <v>1</v>
      </c>
      <c r="AK22" s="61">
        <v>1</v>
      </c>
      <c r="AL22" s="61">
        <v>1</v>
      </c>
      <c r="AM22" s="61">
        <v>1</v>
      </c>
      <c r="AN22" s="61">
        <v>1</v>
      </c>
      <c r="AO22" s="61">
        <v>1</v>
      </c>
      <c r="AP22" s="61">
        <v>1</v>
      </c>
      <c r="AQ22" s="61">
        <v>1</v>
      </c>
      <c r="AR22" s="61">
        <v>1</v>
      </c>
      <c r="AS22" s="61">
        <v>1</v>
      </c>
      <c r="AT22" s="61">
        <v>1</v>
      </c>
      <c r="AU22" s="61">
        <v>1</v>
      </c>
      <c r="AV22" s="61">
        <v>1</v>
      </c>
      <c r="AW22" s="61">
        <v>1</v>
      </c>
      <c r="AX22" s="61"/>
      <c r="AY22" s="61"/>
      <c r="AZ22" s="61"/>
      <c r="BA22" s="61"/>
    </row>
    <row r="23" spans="1:53">
      <c r="A23" s="61">
        <v>21</v>
      </c>
      <c r="B23" s="31" t="str">
        <f>IF($D23=0,"",VLOOKUP($D23,'Project IO'!$B:$E,3,FALSE))</f>
        <v>potential</v>
      </c>
      <c r="C23" s="31" t="str">
        <f>IF($D23=0,"",VLOOKUP($D23,'Project IO'!$B:$E,4,FALSE))</f>
        <v>Lead</v>
      </c>
      <c r="D23" s="62" t="str">
        <f t="shared" si="2"/>
        <v>CatOX</v>
      </c>
      <c r="E23" s="62" t="str">
        <f>IF($H23=0,"",VLOOKUP($H23,정원!$D:$G,2,FALSE))</f>
        <v>Control Eng.</v>
      </c>
      <c r="F23" s="62" t="str">
        <f>IF($H23=0,"",VLOOKUP($H23,정원!$D:$G,3,FALSE))</f>
        <v>Electrical</v>
      </c>
      <c r="G23" s="62" t="str">
        <f>IF($H23=0,"",VLOOKUP($H23,정원!$D:$G,4,FALSE))</f>
        <v>Electrical engineer</v>
      </c>
      <c r="H23" s="66" t="s">
        <v>80</v>
      </c>
      <c r="I23" s="73">
        <v>46539</v>
      </c>
      <c r="J23" s="73">
        <v>46722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AD23" s="61"/>
      <c r="AE23" s="61"/>
      <c r="AF23" s="61">
        <v>0.5</v>
      </c>
      <c r="AG23" s="61">
        <v>0.5</v>
      </c>
      <c r="AH23" s="61">
        <v>0.5</v>
      </c>
      <c r="AI23" s="61">
        <v>0.5</v>
      </c>
      <c r="AJ23" s="61">
        <v>0.5</v>
      </c>
      <c r="AK23" s="61">
        <v>0.5</v>
      </c>
      <c r="AL23" s="61">
        <v>0.5</v>
      </c>
      <c r="AM23" s="61">
        <v>0.5</v>
      </c>
      <c r="AN23" s="61">
        <v>0.5</v>
      </c>
      <c r="AO23" s="61">
        <v>0.5</v>
      </c>
      <c r="AP23" s="61">
        <v>0.5</v>
      </c>
      <c r="AQ23" s="61">
        <v>0.5</v>
      </c>
      <c r="AR23" s="61">
        <v>0.5</v>
      </c>
      <c r="AS23" s="61">
        <v>0.5</v>
      </c>
      <c r="AT23" s="61"/>
      <c r="AU23" s="61"/>
      <c r="AV23" s="61"/>
      <c r="AW23" s="61"/>
      <c r="AX23" s="61"/>
      <c r="AY23" s="61"/>
      <c r="AZ23" s="61"/>
      <c r="BA23" s="61"/>
    </row>
    <row r="24" spans="1:53">
      <c r="A24" s="61">
        <v>22</v>
      </c>
      <c r="B24" s="31" t="str">
        <f>IF($D24=0,"",VLOOKUP($D24,'Project IO'!$B:$E,3,FALSE))</f>
        <v>potential</v>
      </c>
      <c r="C24" s="31" t="str">
        <f>IF($D24=0,"",VLOOKUP($D24,'Project IO'!$B:$E,4,FALSE))</f>
        <v>Lead</v>
      </c>
      <c r="D24" s="62" t="str">
        <f t="shared" si="2"/>
        <v>CatOX</v>
      </c>
      <c r="E24" s="62">
        <f>IF($H24=0,"",VLOOKUP($H24,정원!$D:$G,2,FALSE))</f>
        <v>0</v>
      </c>
      <c r="F24" s="62">
        <f>IF($H24=0,"",VLOOKUP($H24,정원!$D:$G,3,FALSE))</f>
        <v>0</v>
      </c>
      <c r="G24" s="62">
        <f>IF($H24=0,"",VLOOKUP($H24,정원!$D:$G,4,FALSE))</f>
        <v>0</v>
      </c>
      <c r="H24" s="66" t="s">
        <v>81</v>
      </c>
      <c r="I24" s="73">
        <v>46539</v>
      </c>
      <c r="J24" s="73">
        <v>46722</v>
      </c>
      <c r="K24" s="61"/>
      <c r="L24" s="61"/>
      <c r="M24" s="61"/>
      <c r="N24" s="61"/>
      <c r="O24" s="61"/>
      <c r="P24" s="61"/>
      <c r="AA24" s="61" t="s">
        <v>314</v>
      </c>
      <c r="AB24" s="61"/>
      <c r="AC24" s="61" t="s">
        <v>301</v>
      </c>
      <c r="AD24" s="61"/>
      <c r="AE24" s="61"/>
      <c r="AF24" s="61"/>
      <c r="AG24" s="61" t="s">
        <v>302</v>
      </c>
      <c r="AH24" s="61"/>
      <c r="AJ24" s="61"/>
      <c r="AK24" s="61"/>
      <c r="AL24" s="61" t="s">
        <v>303</v>
      </c>
      <c r="AM24" s="61"/>
      <c r="AO24" s="61"/>
      <c r="AP24" s="61"/>
      <c r="AQ24" s="61"/>
      <c r="AR24" s="61" t="s">
        <v>64</v>
      </c>
      <c r="AT24" s="61"/>
      <c r="AU24" s="61"/>
      <c r="AV24" s="61"/>
      <c r="AW24" s="61"/>
      <c r="AX24" s="61" t="s">
        <v>65</v>
      </c>
      <c r="AY24" s="61"/>
      <c r="AZ24" s="61"/>
      <c r="BA24" s="61"/>
    </row>
    <row r="25" spans="1:53">
      <c r="A25" s="61"/>
      <c r="D25" s="61"/>
      <c r="E25" s="66"/>
      <c r="F25" s="61"/>
      <c r="G25" s="67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</row>
    <row r="26" spans="1:53">
      <c r="A26" s="61"/>
      <c r="D26" s="61"/>
      <c r="E26" s="66"/>
      <c r="F26" s="61"/>
      <c r="G26" s="67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</row>
  </sheetData>
  <phoneticPr fontId="1" type="noConversion"/>
  <dataValidations count="2">
    <dataValidation type="list" allowBlank="1" showInputMessage="1" showErrorMessage="1" sqref="E25:E1048576" xr:uid="{47436FC4-2801-48F6-8594-E1EAC71064EF}">
      <formula1>"Engineering, PMO, System engineering, Control Engineering"</formula1>
    </dataValidation>
    <dataValidation type="list" allowBlank="1" showInputMessage="1" showErrorMessage="1" sqref="F25:F1048576" xr:uid="{66587E10-5D7D-4270-B5DB-4A89CB2E1FD9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48F1AD-63B4-4B2B-A624-FBD69F1154A8}">
          <x14:formula1>
            <xm:f>'Project IO'!$B$4:$B$101</xm:f>
          </x14:formula1>
          <xm:sqref>A1</xm:sqref>
        </x14:dataValidation>
        <x14:dataValidation type="list" allowBlank="1" showInputMessage="1" showErrorMessage="1" xr:uid="{0638EBB0-EC66-42CE-A12A-7FE264003794}">
          <x14:formula1>
            <xm:f>정원!$D:$D</xm:f>
          </x14:formula1>
          <xm:sqref>H3:H1048576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16D4-9498-4631-83EF-F3FAB58165E8}">
  <sheetPr>
    <tabColor theme="6" tint="0.79998168889431442"/>
  </sheetPr>
  <dimension ref="A1:BI23"/>
  <sheetViews>
    <sheetView topLeftCell="G1" workbookViewId="0">
      <selection activeCell="AN30" sqref="AN30"/>
    </sheetView>
  </sheetViews>
  <sheetFormatPr defaultColWidth="9" defaultRowHeight="16.5" outlineLevelCol="1"/>
  <cols>
    <col min="1" max="1" width="13.125" style="51" bestFit="1" customWidth="1"/>
    <col min="2" max="2" width="8.625" style="51" bestFit="1" customWidth="1"/>
    <col min="3" max="4" width="14.625" style="51" customWidth="1"/>
    <col min="5" max="5" width="15.625" style="51" bestFit="1" customWidth="1"/>
    <col min="6" max="6" width="20.125" style="51" bestFit="1" customWidth="1"/>
    <col min="7" max="7" width="17.125" style="51" bestFit="1" customWidth="1"/>
    <col min="8" max="8" width="15.125" style="51" bestFit="1" customWidth="1"/>
    <col min="9" max="10" width="9" style="51"/>
    <col min="11" max="17" width="9" style="51" hidden="1" customWidth="1" outlineLevel="1"/>
    <col min="18" max="18" width="9" style="51" collapsed="1"/>
    <col min="19" max="16384" width="9" style="51"/>
  </cols>
  <sheetData>
    <row r="1" spans="1:61" ht="27" customHeight="1">
      <c r="A1" s="48" t="s">
        <v>148</v>
      </c>
      <c r="B1" s="49" t="str">
        <f>IF($A$1=0,"",VLOOKUP(A1,'Project IO'!$B$4:$C$101,2,FALSE))</f>
        <v>TBC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45852</v>
      </c>
      <c r="J1" s="83" t="s">
        <v>55</v>
      </c>
      <c r="K1" s="51">
        <f t="shared" ref="K1:AP1" si="0">SUM(K3:K1048576)</f>
        <v>0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5.8</v>
      </c>
      <c r="Y1" s="51">
        <f t="shared" si="0"/>
        <v>6.8</v>
      </c>
      <c r="Z1" s="51">
        <f t="shared" si="0"/>
        <v>9.1999999999999993</v>
      </c>
      <c r="AA1" s="51">
        <f t="shared" si="0"/>
        <v>13.199999999999998</v>
      </c>
      <c r="AB1" s="51">
        <f t="shared" si="0"/>
        <v>13.199999999999998</v>
      </c>
      <c r="AC1" s="51">
        <f t="shared" si="0"/>
        <v>13.199999999999998</v>
      </c>
      <c r="AD1" s="51">
        <f t="shared" si="0"/>
        <v>13.199999999999998</v>
      </c>
      <c r="AE1" s="51">
        <f t="shared" si="0"/>
        <v>14.199999999999998</v>
      </c>
      <c r="AF1" s="51">
        <f t="shared" si="0"/>
        <v>14.199999999999998</v>
      </c>
      <c r="AG1" s="51">
        <f t="shared" si="0"/>
        <v>14.199999999999998</v>
      </c>
      <c r="AH1" s="51">
        <f t="shared" si="0"/>
        <v>14.199999999999998</v>
      </c>
      <c r="AI1" s="51">
        <f t="shared" si="0"/>
        <v>14.199999999999998</v>
      </c>
      <c r="AJ1" s="51">
        <f t="shared" si="0"/>
        <v>14.199999999999998</v>
      </c>
      <c r="AK1" s="51">
        <f t="shared" si="0"/>
        <v>14.199999999999998</v>
      </c>
      <c r="AL1" s="51">
        <f t="shared" si="0"/>
        <v>11.5</v>
      </c>
      <c r="AM1" s="51">
        <f t="shared" si="0"/>
        <v>11</v>
      </c>
      <c r="AN1" s="51">
        <f t="shared" si="0"/>
        <v>11</v>
      </c>
      <c r="AO1" s="51">
        <f t="shared" si="0"/>
        <v>11</v>
      </c>
      <c r="AP1" s="51">
        <f t="shared" si="0"/>
        <v>10.799999999999999</v>
      </c>
      <c r="AQ1" s="51">
        <f t="shared" ref="AQ1:BI1" si="1">SUM(AQ3:AQ1048576)</f>
        <v>0</v>
      </c>
      <c r="AR1" s="51">
        <f t="shared" si="1"/>
        <v>0</v>
      </c>
      <c r="AS1" s="51">
        <f t="shared" si="1"/>
        <v>0</v>
      </c>
      <c r="AT1" s="51">
        <f t="shared" si="1"/>
        <v>0</v>
      </c>
      <c r="AU1" s="51">
        <f t="shared" si="1"/>
        <v>0</v>
      </c>
      <c r="AV1" s="51">
        <f t="shared" si="1"/>
        <v>0</v>
      </c>
      <c r="AW1" s="51">
        <f t="shared" si="1"/>
        <v>0</v>
      </c>
      <c r="AX1" s="51">
        <f t="shared" si="1"/>
        <v>0</v>
      </c>
      <c r="AY1" s="51">
        <f t="shared" si="1"/>
        <v>0</v>
      </c>
      <c r="AZ1" s="51">
        <f t="shared" si="1"/>
        <v>0</v>
      </c>
      <c r="BA1" s="51">
        <f t="shared" si="1"/>
        <v>0</v>
      </c>
      <c r="BB1" s="51">
        <f t="shared" si="1"/>
        <v>0</v>
      </c>
      <c r="BC1" s="51">
        <f t="shared" si="1"/>
        <v>0</v>
      </c>
      <c r="BD1" s="51">
        <f t="shared" si="1"/>
        <v>0</v>
      </c>
      <c r="BE1" s="51">
        <f t="shared" si="1"/>
        <v>0</v>
      </c>
      <c r="BF1" s="51">
        <f t="shared" si="1"/>
        <v>0</v>
      </c>
      <c r="BG1" s="51">
        <f t="shared" si="1"/>
        <v>0</v>
      </c>
      <c r="BH1" s="51">
        <f t="shared" si="1"/>
        <v>0</v>
      </c>
      <c r="BI1" s="51">
        <f t="shared" si="1"/>
        <v>0</v>
      </c>
    </row>
    <row r="2" spans="1:61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69" t="s">
        <v>86</v>
      </c>
      <c r="I2" s="70" t="s">
        <v>64</v>
      </c>
      <c r="J2" s="70" t="s">
        <v>65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61">
      <c r="A3" s="61">
        <v>1</v>
      </c>
      <c r="B3" s="31" t="str">
        <f>IF($D3=0,"",VLOOKUP($D3,'Project IO'!$B:$E,3,FALSE))</f>
        <v>Plan</v>
      </c>
      <c r="C3" s="31" t="str">
        <f>IF($D3=0,"",VLOOKUP($D3,'Project IO'!$B:$E,4,FALSE))</f>
        <v>Lead</v>
      </c>
      <c r="D3" s="62" t="str">
        <f>$A$1</f>
        <v>Kanara</v>
      </c>
      <c r="E3" s="62" t="str">
        <f>IF($H3=0,"",VLOOKUP($H3,정원!$D:$G,2,FALSE))</f>
        <v>Engineering</v>
      </c>
      <c r="F3" s="62" t="str">
        <f>IF($H3=0,"",VLOOKUP($H3,정원!$D:$G,3,FALSE))</f>
        <v>* Manager</v>
      </c>
      <c r="G3" s="62" t="str">
        <f>IF($H3=0,"",VLOOKUP($H3,정원!$D:$G,4,FALSE))</f>
        <v>* Eng Manager</v>
      </c>
      <c r="H3" s="65" t="s">
        <v>66</v>
      </c>
      <c r="I3" s="73">
        <v>46598</v>
      </c>
      <c r="J3" s="73">
        <f>I3+150</f>
        <v>46748</v>
      </c>
      <c r="K3" s="61"/>
      <c r="L3" s="61"/>
      <c r="M3" s="61"/>
      <c r="N3" s="61"/>
      <c r="O3" s="61"/>
      <c r="P3" s="61"/>
      <c r="Q3" s="61"/>
      <c r="X3" s="64">
        <v>0.1</v>
      </c>
      <c r="Y3" s="64">
        <v>0.1</v>
      </c>
      <c r="Z3" s="64">
        <v>0.1</v>
      </c>
      <c r="AA3" s="64">
        <v>0.1</v>
      </c>
      <c r="AB3" s="64">
        <v>0.1</v>
      </c>
      <c r="AC3" s="64">
        <v>0.1</v>
      </c>
      <c r="AD3" s="64">
        <v>0.1</v>
      </c>
      <c r="AE3" s="64">
        <v>0.1</v>
      </c>
      <c r="AF3" s="64">
        <v>0.1</v>
      </c>
      <c r="AG3" s="64">
        <v>0.1</v>
      </c>
      <c r="AH3" s="64">
        <v>0.1</v>
      </c>
      <c r="AI3" s="64">
        <v>0.1</v>
      </c>
      <c r="AJ3" s="64">
        <v>0.1</v>
      </c>
      <c r="AK3" s="64">
        <v>0.1</v>
      </c>
      <c r="AL3" s="64">
        <v>0.1</v>
      </c>
      <c r="AM3" s="64">
        <v>0.1</v>
      </c>
      <c r="AN3" s="64">
        <v>0.1</v>
      </c>
      <c r="AO3" s="64">
        <v>0.1</v>
      </c>
      <c r="AP3" s="64">
        <v>0.1</v>
      </c>
      <c r="AS3" s="64"/>
      <c r="AT3" s="64"/>
      <c r="AU3" s="64"/>
      <c r="AV3" s="61"/>
      <c r="AW3" s="61"/>
      <c r="AX3" s="61"/>
      <c r="AY3" s="61"/>
      <c r="AZ3" s="61"/>
      <c r="BA3" s="61"/>
    </row>
    <row r="4" spans="1:61">
      <c r="A4" s="61">
        <v>2</v>
      </c>
      <c r="B4" s="31" t="str">
        <f>IF($D4=0,"",VLOOKUP($D4,'Project IO'!$B:$E,3,FALSE))</f>
        <v>Plan</v>
      </c>
      <c r="C4" s="31" t="str">
        <f>IF($D4=0,"",VLOOKUP($D4,'Project IO'!$B:$E,4,FALSE))</f>
        <v>Lead</v>
      </c>
      <c r="D4" s="62" t="str">
        <f>$A$1</f>
        <v>Kanara</v>
      </c>
      <c r="E4" s="62" t="str">
        <f>IF($H4=0,"",VLOOKUP($H4,정원!$D:$G,2,FALSE))</f>
        <v>PMO</v>
      </c>
      <c r="F4" s="62" t="str">
        <f>IF($H4=0,"",VLOOKUP($H4,정원!$D:$G,3,FALSE))</f>
        <v>* Manager</v>
      </c>
      <c r="G4" s="62" t="str">
        <f>IF($H4=0,"",VLOOKUP($H4,정원!$D:$G,4,FALSE))</f>
        <v>* Manager</v>
      </c>
      <c r="H4" s="65" t="s">
        <v>67</v>
      </c>
      <c r="I4" s="73">
        <v>46598</v>
      </c>
      <c r="J4" s="73">
        <f>I4+150</f>
        <v>46748</v>
      </c>
      <c r="K4" s="61"/>
      <c r="L4" s="61"/>
      <c r="M4" s="61"/>
      <c r="N4" s="61"/>
      <c r="O4" s="61"/>
      <c r="P4" s="61"/>
      <c r="Q4" s="61"/>
      <c r="X4" s="64">
        <v>0.2</v>
      </c>
      <c r="Y4" s="64">
        <v>0.2</v>
      </c>
      <c r="Z4" s="64">
        <v>0.2</v>
      </c>
      <c r="AA4" s="64">
        <v>0.2</v>
      </c>
      <c r="AB4" s="64">
        <v>0.2</v>
      </c>
      <c r="AC4" s="64">
        <v>0.2</v>
      </c>
      <c r="AD4" s="64">
        <v>0.2</v>
      </c>
      <c r="AE4" s="64">
        <v>0.2</v>
      </c>
      <c r="AF4" s="64">
        <v>0.2</v>
      </c>
      <c r="AG4" s="64">
        <v>0.2</v>
      </c>
      <c r="AH4" s="64">
        <v>0.2</v>
      </c>
      <c r="AI4" s="64">
        <v>0.2</v>
      </c>
      <c r="AJ4" s="64">
        <v>0.2</v>
      </c>
      <c r="AK4" s="64">
        <v>0.2</v>
      </c>
      <c r="AL4" s="64">
        <v>0.1</v>
      </c>
      <c r="AM4" s="64">
        <v>0.1</v>
      </c>
      <c r="AN4" s="64">
        <v>0.1</v>
      </c>
      <c r="AO4" s="64">
        <v>0.1</v>
      </c>
      <c r="AP4" s="64">
        <v>0.1</v>
      </c>
      <c r="AS4" s="64"/>
      <c r="AT4" s="64"/>
      <c r="AU4" s="64"/>
      <c r="AV4" s="61"/>
      <c r="AW4" s="61"/>
      <c r="AX4" s="61"/>
      <c r="AY4" s="61"/>
      <c r="AZ4" s="61"/>
      <c r="BA4" s="61"/>
    </row>
    <row r="5" spans="1:61">
      <c r="A5" s="61">
        <v>3</v>
      </c>
      <c r="B5" s="31" t="str">
        <f>IF($D5=0,"",VLOOKUP($D5,'Project IO'!$B:$E,3,FALSE))</f>
        <v>Plan</v>
      </c>
      <c r="C5" s="31" t="str">
        <f>IF($D5=0,"",VLOOKUP($D5,'Project IO'!$B:$E,4,FALSE))</f>
        <v>Lead</v>
      </c>
      <c r="D5" s="62" t="str">
        <f t="shared" ref="D5:D23" si="2">$A$1</f>
        <v>Kanara</v>
      </c>
      <c r="E5" s="62" t="str">
        <f>IF($H5=0,"",VLOOKUP($H5,정원!$D:$G,2,FALSE))</f>
        <v>PMO</v>
      </c>
      <c r="F5" s="62" t="str">
        <f>IF($H5=0,"",VLOOKUP($H5,정원!$D:$G,3,FALSE))</f>
        <v>PM</v>
      </c>
      <c r="G5" s="62" t="str">
        <f>IF($H5=0,"",VLOOKUP($H5,정원!$D:$G,4,FALSE))</f>
        <v>PM</v>
      </c>
      <c r="H5" s="65" t="s">
        <v>68</v>
      </c>
      <c r="I5" s="73">
        <v>46598</v>
      </c>
      <c r="J5" s="73">
        <f t="shared" ref="J5:J23" si="3">I5+150</f>
        <v>46748</v>
      </c>
      <c r="K5" s="61"/>
      <c r="L5" s="61"/>
      <c r="M5" s="61"/>
      <c r="N5" s="61"/>
      <c r="O5" s="61"/>
      <c r="P5" s="61"/>
      <c r="Q5" s="61"/>
      <c r="X5" s="64">
        <v>0.5</v>
      </c>
      <c r="Y5" s="64">
        <v>1</v>
      </c>
      <c r="Z5" s="64">
        <v>1</v>
      </c>
      <c r="AA5" s="64">
        <v>1</v>
      </c>
      <c r="AB5" s="64">
        <v>1</v>
      </c>
      <c r="AC5" s="64">
        <v>1</v>
      </c>
      <c r="AD5" s="64">
        <v>1</v>
      </c>
      <c r="AE5" s="64">
        <v>1</v>
      </c>
      <c r="AF5" s="64">
        <v>1</v>
      </c>
      <c r="AG5" s="64">
        <v>1</v>
      </c>
      <c r="AH5" s="64">
        <v>1</v>
      </c>
      <c r="AI5" s="64">
        <v>1</v>
      </c>
      <c r="AJ5" s="64">
        <v>1</v>
      </c>
      <c r="AK5" s="64">
        <v>1</v>
      </c>
      <c r="AL5" s="64">
        <v>1</v>
      </c>
      <c r="AM5" s="64">
        <v>0.5</v>
      </c>
      <c r="AN5" s="64">
        <v>0.5</v>
      </c>
      <c r="AO5" s="64">
        <v>0.5</v>
      </c>
      <c r="AP5" s="64">
        <v>0.5</v>
      </c>
      <c r="AS5" s="64"/>
      <c r="AT5" s="64"/>
      <c r="AU5" s="64"/>
      <c r="AV5" s="61"/>
      <c r="AW5" s="61"/>
      <c r="AX5" s="61"/>
      <c r="AY5" s="61"/>
      <c r="AZ5" s="61"/>
      <c r="BA5" s="61"/>
    </row>
    <row r="6" spans="1:61">
      <c r="A6" s="61">
        <v>4</v>
      </c>
      <c r="B6" s="31" t="str">
        <f>IF($D6=0,"",VLOOKUP($D6,'Project IO'!$B:$E,3,FALSE))</f>
        <v>Plan</v>
      </c>
      <c r="C6" s="31" t="str">
        <f>IF($D6=0,"",VLOOKUP($D6,'Project IO'!$B:$E,4,FALSE))</f>
        <v>Lead</v>
      </c>
      <c r="D6" s="62" t="str">
        <f t="shared" si="2"/>
        <v>Kanara</v>
      </c>
      <c r="E6" s="62" t="str">
        <f>IF($H6=0,"",VLOOKUP($H6,정원!$D:$G,2,FALSE))</f>
        <v>NPI IS</v>
      </c>
      <c r="F6" s="62" t="str">
        <f>IF($H6=0,"",VLOOKUP($H6,정원!$D:$G,3,FALSE))</f>
        <v>* Manager</v>
      </c>
      <c r="G6" s="62" t="str">
        <f>IF($H6=0,"",VLOOKUP($H6,정원!$D:$G,4,FALSE))</f>
        <v>* Manager</v>
      </c>
      <c r="H6" s="65" t="s">
        <v>69</v>
      </c>
      <c r="I6" s="73">
        <v>46598</v>
      </c>
      <c r="J6" s="73">
        <f t="shared" si="3"/>
        <v>46748</v>
      </c>
      <c r="K6" s="61"/>
      <c r="L6" s="61"/>
      <c r="M6" s="61"/>
      <c r="N6" s="61"/>
      <c r="O6" s="61"/>
      <c r="P6" s="61"/>
      <c r="Q6" s="61"/>
      <c r="X6" s="64">
        <v>0.1</v>
      </c>
      <c r="Y6" s="64">
        <v>0.1</v>
      </c>
      <c r="Z6" s="64">
        <v>0.2</v>
      </c>
      <c r="AA6" s="64">
        <v>0.2</v>
      </c>
      <c r="AB6" s="64">
        <v>0.2</v>
      </c>
      <c r="AC6" s="64">
        <v>0.2</v>
      </c>
      <c r="AD6" s="64">
        <v>0.2</v>
      </c>
      <c r="AE6" s="64">
        <v>0.2</v>
      </c>
      <c r="AF6" s="64">
        <v>0.2</v>
      </c>
      <c r="AG6" s="64">
        <v>0.2</v>
      </c>
      <c r="AH6" s="64">
        <v>0.2</v>
      </c>
      <c r="AI6" s="64">
        <v>0.2</v>
      </c>
      <c r="AJ6" s="64">
        <v>0.2</v>
      </c>
      <c r="AK6" s="64">
        <v>0.2</v>
      </c>
      <c r="AL6" s="64">
        <v>0.1</v>
      </c>
      <c r="AM6" s="64">
        <v>0.1</v>
      </c>
      <c r="AN6" s="64">
        <v>0.1</v>
      </c>
      <c r="AO6" s="64">
        <v>0.1</v>
      </c>
      <c r="AP6" s="64">
        <v>0.1</v>
      </c>
      <c r="AS6" s="64"/>
      <c r="AT6" s="64"/>
      <c r="AU6" s="64"/>
      <c r="AV6" s="61"/>
      <c r="AW6" s="61"/>
      <c r="AX6" s="61"/>
      <c r="AY6" s="61"/>
      <c r="AZ6" s="61"/>
      <c r="BA6" s="61"/>
    </row>
    <row r="7" spans="1:61">
      <c r="A7" s="61">
        <v>5</v>
      </c>
      <c r="B7" s="31" t="str">
        <f>IF($D7=0,"",VLOOKUP($D7,'Project IO'!$B:$E,3,FALSE))</f>
        <v>Plan</v>
      </c>
      <c r="C7" s="31" t="str">
        <f>IF($D7=0,"",VLOOKUP($D7,'Project IO'!$B:$E,4,FALSE))</f>
        <v>Lead</v>
      </c>
      <c r="D7" s="62" t="str">
        <f t="shared" si="2"/>
        <v>Kanara</v>
      </c>
      <c r="E7" s="62" t="str">
        <f>IF($H7=0,"",VLOOKUP($H7,정원!$D:$G,2,FALSE))</f>
        <v>NPI IS</v>
      </c>
      <c r="F7" s="62" t="str">
        <f>IF($H7=0,"",VLOOKUP($H7,정원!$D:$G,3,FALSE))</f>
        <v>System □</v>
      </c>
      <c r="G7" s="62" t="str">
        <f>IF($H7=0,"",VLOOKUP($H7,정원!$D:$G,4,FALSE))</f>
        <v>Leader</v>
      </c>
      <c r="H7" s="65" t="s">
        <v>70</v>
      </c>
      <c r="I7" s="73">
        <v>46598</v>
      </c>
      <c r="J7" s="73">
        <f t="shared" si="3"/>
        <v>46748</v>
      </c>
      <c r="K7" s="61"/>
      <c r="L7" s="61"/>
      <c r="M7" s="61"/>
      <c r="N7" s="61"/>
      <c r="O7" s="61"/>
      <c r="P7" s="61"/>
      <c r="Q7" s="61"/>
      <c r="X7" s="64">
        <v>0.5</v>
      </c>
      <c r="Y7" s="64">
        <v>1</v>
      </c>
      <c r="Z7" s="64">
        <v>1</v>
      </c>
      <c r="AA7" s="64">
        <v>1</v>
      </c>
      <c r="AB7" s="64">
        <v>1</v>
      </c>
      <c r="AC7" s="64">
        <v>1</v>
      </c>
      <c r="AD7" s="64">
        <v>1</v>
      </c>
      <c r="AE7" s="64">
        <v>1</v>
      </c>
      <c r="AF7" s="64">
        <v>1</v>
      </c>
      <c r="AG7" s="64">
        <v>1</v>
      </c>
      <c r="AH7" s="64">
        <v>1</v>
      </c>
      <c r="AI7" s="64">
        <v>1</v>
      </c>
      <c r="AJ7" s="64">
        <v>1</v>
      </c>
      <c r="AK7" s="64">
        <v>1</v>
      </c>
      <c r="AL7" s="64">
        <v>1</v>
      </c>
      <c r="AM7" s="64">
        <v>1</v>
      </c>
      <c r="AN7" s="64">
        <v>1</v>
      </c>
      <c r="AO7" s="64">
        <v>1</v>
      </c>
      <c r="AP7" s="64">
        <v>1</v>
      </c>
      <c r="AS7" s="64"/>
      <c r="AT7" s="64"/>
      <c r="AU7" s="64"/>
      <c r="AV7" s="61"/>
      <c r="AW7" s="61"/>
      <c r="AX7" s="61"/>
      <c r="AY7" s="61"/>
      <c r="AZ7" s="61"/>
      <c r="BA7" s="61"/>
    </row>
    <row r="8" spans="1:61">
      <c r="A8" s="61">
        <v>6</v>
      </c>
      <c r="B8" s="31" t="str">
        <f>IF($D8=0,"",VLOOKUP($D8,'Project IO'!$B:$E,3,FALSE))</f>
        <v>Plan</v>
      </c>
      <c r="C8" s="31" t="str">
        <f>IF($D8=0,"",VLOOKUP($D8,'Project IO'!$B:$E,4,FALSE))</f>
        <v>Lead</v>
      </c>
      <c r="D8" s="62" t="str">
        <f t="shared" si="2"/>
        <v>Kanara</v>
      </c>
      <c r="E8" s="62" t="str">
        <f>IF($H8=0,"",VLOOKUP($H8,정원!$D:$G,2,FALSE))</f>
        <v>NPI IS</v>
      </c>
      <c r="F8" s="62" t="str">
        <f>IF($H8=0,"",VLOOKUP($H8,정원!$D:$G,3,FALSE))</f>
        <v>System □</v>
      </c>
      <c r="G8" s="62" t="str">
        <f>IF($H8=0,"",VLOOKUP($H8,정원!$D:$G,4,FALSE))</f>
        <v>System engineer</v>
      </c>
      <c r="H8" s="65" t="s">
        <v>71</v>
      </c>
      <c r="I8" s="73">
        <v>46598</v>
      </c>
      <c r="J8" s="73">
        <f t="shared" si="3"/>
        <v>46748</v>
      </c>
      <c r="K8" s="61"/>
      <c r="L8" s="61"/>
      <c r="M8" s="61"/>
      <c r="N8" s="61"/>
      <c r="O8" s="61"/>
      <c r="P8" s="61"/>
      <c r="Q8" s="61"/>
      <c r="X8" s="64">
        <v>1</v>
      </c>
      <c r="Y8" s="64">
        <v>1</v>
      </c>
      <c r="Z8" s="64">
        <v>1</v>
      </c>
      <c r="AA8" s="64">
        <v>1</v>
      </c>
      <c r="AB8" s="64">
        <v>1</v>
      </c>
      <c r="AC8" s="64">
        <v>1</v>
      </c>
      <c r="AD8" s="64">
        <v>1</v>
      </c>
      <c r="AE8" s="64">
        <v>1</v>
      </c>
      <c r="AF8" s="64">
        <v>1</v>
      </c>
      <c r="AG8" s="64">
        <v>1</v>
      </c>
      <c r="AH8" s="64">
        <v>1</v>
      </c>
      <c r="AI8" s="64">
        <v>1</v>
      </c>
      <c r="AJ8" s="64">
        <v>1</v>
      </c>
      <c r="AK8" s="64">
        <v>1</v>
      </c>
      <c r="AL8" s="64">
        <v>1</v>
      </c>
      <c r="AM8" s="64">
        <v>1</v>
      </c>
      <c r="AN8" s="64">
        <v>1</v>
      </c>
      <c r="AO8" s="64">
        <v>1</v>
      </c>
      <c r="AP8" s="64">
        <v>1</v>
      </c>
      <c r="AS8" s="64"/>
      <c r="AT8" s="64"/>
      <c r="AU8" s="64"/>
      <c r="AV8" s="61"/>
      <c r="AW8" s="61"/>
      <c r="AX8" s="61"/>
      <c r="AY8" s="61"/>
      <c r="AZ8" s="61"/>
      <c r="BA8" s="61"/>
    </row>
    <row r="9" spans="1:61">
      <c r="A9" s="61">
        <v>7</v>
      </c>
      <c r="B9" s="31" t="str">
        <f>IF($D9=0,"",VLOOKUP($D9,'Project IO'!$B:$E,3,FALSE))</f>
        <v>Plan</v>
      </c>
      <c r="C9" s="31" t="str">
        <f>IF($D9=0,"",VLOOKUP($D9,'Project IO'!$B:$E,4,FALSE))</f>
        <v>Lead</v>
      </c>
      <c r="D9" s="62" t="str">
        <f t="shared" si="2"/>
        <v>Kanara</v>
      </c>
      <c r="E9" s="62" t="str">
        <f>IF($H9=0,"",VLOOKUP($H9,정원!$D:$G,2,FALSE))</f>
        <v>NPI IS</v>
      </c>
      <c r="F9" s="62" t="str">
        <f>IF($H9=0,"",VLOOKUP($H9,정원!$D:$G,3,FALSE))</f>
        <v>System □</v>
      </c>
      <c r="G9" s="62" t="str">
        <f>IF($H9=0,"",VLOOKUP($H9,정원!$D:$G,4,FALSE))</f>
        <v>System engineer</v>
      </c>
      <c r="H9" s="65" t="s">
        <v>71</v>
      </c>
      <c r="I9" s="73">
        <v>46598</v>
      </c>
      <c r="J9" s="73">
        <f t="shared" si="3"/>
        <v>46748</v>
      </c>
      <c r="K9" s="61"/>
      <c r="L9" s="61"/>
      <c r="M9" s="61"/>
      <c r="N9" s="61"/>
      <c r="O9" s="61"/>
      <c r="P9" s="61"/>
      <c r="Q9" s="61"/>
      <c r="X9" s="64">
        <v>1</v>
      </c>
      <c r="Y9" s="64">
        <v>1</v>
      </c>
      <c r="Z9" s="64">
        <v>1</v>
      </c>
      <c r="AA9" s="64">
        <v>1</v>
      </c>
      <c r="AB9" s="64">
        <v>1</v>
      </c>
      <c r="AC9" s="64">
        <v>1</v>
      </c>
      <c r="AD9" s="64">
        <v>1</v>
      </c>
      <c r="AE9" s="64">
        <v>1</v>
      </c>
      <c r="AF9" s="64">
        <v>1</v>
      </c>
      <c r="AG9" s="64">
        <v>1</v>
      </c>
      <c r="AH9" s="64">
        <v>1</v>
      </c>
      <c r="AI9" s="64">
        <v>1</v>
      </c>
      <c r="AJ9" s="64">
        <v>1</v>
      </c>
      <c r="AK9" s="64">
        <v>1</v>
      </c>
      <c r="AL9" s="64">
        <v>1</v>
      </c>
      <c r="AM9" s="64">
        <v>1</v>
      </c>
      <c r="AN9" s="64">
        <v>1</v>
      </c>
      <c r="AO9" s="64">
        <v>1</v>
      </c>
      <c r="AP9" s="64">
        <v>1</v>
      </c>
      <c r="AS9" s="64"/>
      <c r="AT9" s="64"/>
      <c r="AU9" s="64"/>
      <c r="AV9" s="61"/>
      <c r="AW9" s="61"/>
      <c r="AX9" s="61"/>
      <c r="AY9" s="61"/>
      <c r="AZ9" s="61"/>
      <c r="BA9" s="61"/>
    </row>
    <row r="10" spans="1:61">
      <c r="A10" s="61">
        <v>8</v>
      </c>
      <c r="B10" s="31" t="str">
        <f>IF($D10=0,"",VLOOKUP($D10,'Project IO'!$B:$E,3,FALSE))</f>
        <v>Plan</v>
      </c>
      <c r="C10" s="31" t="str">
        <f>IF($D10=0,"",VLOOKUP($D10,'Project IO'!$B:$E,4,FALSE))</f>
        <v>Lead</v>
      </c>
      <c r="D10" s="62" t="str">
        <f t="shared" si="2"/>
        <v>Kanara</v>
      </c>
      <c r="E10" s="62" t="str">
        <f>IF($H10=0,"",VLOOKUP($H10,정원!$D:$G,2,FALSE))</f>
        <v>NPI IS</v>
      </c>
      <c r="F10" s="62" t="str">
        <f>IF($H10=0,"",VLOOKUP($H10,정원!$D:$G,3,FALSE))</f>
        <v>System □</v>
      </c>
      <c r="G10" s="62" t="str">
        <f>IF($H10=0,"",VLOOKUP($H10,정원!$D:$G,4,FALSE))</f>
        <v>System engineer</v>
      </c>
      <c r="H10" s="65" t="s">
        <v>71</v>
      </c>
      <c r="I10" s="73">
        <v>46598</v>
      </c>
      <c r="J10" s="73">
        <f t="shared" si="3"/>
        <v>46748</v>
      </c>
      <c r="K10" s="61"/>
      <c r="L10" s="61"/>
      <c r="M10" s="61"/>
      <c r="N10" s="61"/>
      <c r="O10" s="61"/>
      <c r="P10" s="61"/>
      <c r="Q10" s="61"/>
      <c r="X10" s="64"/>
      <c r="Y10" s="64"/>
      <c r="Z10" s="64"/>
      <c r="AA10" s="64">
        <v>1</v>
      </c>
      <c r="AB10" s="64">
        <v>1</v>
      </c>
      <c r="AC10" s="64">
        <v>1</v>
      </c>
      <c r="AD10" s="64">
        <v>1</v>
      </c>
      <c r="AE10" s="64">
        <v>1</v>
      </c>
      <c r="AF10" s="64">
        <v>1</v>
      </c>
      <c r="AG10" s="64">
        <v>1</v>
      </c>
      <c r="AH10" s="64">
        <v>1</v>
      </c>
      <c r="AI10" s="64">
        <v>1</v>
      </c>
      <c r="AJ10" s="64">
        <v>1</v>
      </c>
      <c r="AK10" s="64">
        <v>1</v>
      </c>
      <c r="AL10" s="64">
        <v>1</v>
      </c>
      <c r="AM10" s="64">
        <v>1</v>
      </c>
      <c r="AN10" s="64">
        <v>1</v>
      </c>
      <c r="AO10" s="64">
        <v>1</v>
      </c>
      <c r="AP10" s="64">
        <v>1</v>
      </c>
      <c r="AS10" s="64"/>
      <c r="AT10" s="64"/>
      <c r="AU10" s="64"/>
      <c r="AV10" s="61"/>
      <c r="AW10" s="61"/>
      <c r="AX10" s="61"/>
      <c r="AY10" s="61"/>
      <c r="AZ10" s="61"/>
      <c r="BA10" s="61"/>
    </row>
    <row r="11" spans="1:61">
      <c r="A11" s="61">
        <v>9</v>
      </c>
      <c r="B11" s="31" t="str">
        <f>IF($D11=0,"",VLOOKUP($D11,'Project IO'!$B:$E,3,FALSE))</f>
        <v>Plan</v>
      </c>
      <c r="C11" s="31" t="str">
        <f>IF($D11=0,"",VLOOKUP($D11,'Project IO'!$B:$E,4,FALSE))</f>
        <v>Lead</v>
      </c>
      <c r="D11" s="62" t="str">
        <f t="shared" si="2"/>
        <v>Kanara</v>
      </c>
      <c r="E11" s="62" t="str">
        <f>IF($H11=0,"",VLOOKUP($H11,정원!$D:$G,2,FALSE))</f>
        <v>NPI IS</v>
      </c>
      <c r="F11" s="62" t="str">
        <f>IF($H11=0,"",VLOOKUP($H11,정원!$D:$G,3,FALSE))</f>
        <v>System □</v>
      </c>
      <c r="G11" s="62" t="str">
        <f>IF($H11=0,"",VLOOKUP($H11,정원!$D:$G,4,FALSE))</f>
        <v>Service engineer</v>
      </c>
      <c r="H11" s="65" t="s">
        <v>72</v>
      </c>
      <c r="I11" s="73">
        <v>46598</v>
      </c>
      <c r="J11" s="73">
        <f t="shared" si="3"/>
        <v>46748</v>
      </c>
      <c r="K11" s="61"/>
      <c r="L11" s="61"/>
      <c r="M11" s="61"/>
      <c r="N11" s="61"/>
      <c r="O11" s="61"/>
      <c r="P11" s="61"/>
      <c r="Q11" s="61"/>
      <c r="X11" s="64"/>
      <c r="Y11" s="64"/>
      <c r="Z11" s="64"/>
      <c r="AA11" s="64">
        <v>1</v>
      </c>
      <c r="AB11" s="64">
        <v>1</v>
      </c>
      <c r="AC11" s="64">
        <v>1</v>
      </c>
      <c r="AD11" s="64">
        <v>1</v>
      </c>
      <c r="AE11" s="64">
        <v>1</v>
      </c>
      <c r="AF11" s="64">
        <v>1</v>
      </c>
      <c r="AG11" s="64">
        <v>1</v>
      </c>
      <c r="AH11" s="64">
        <v>1</v>
      </c>
      <c r="AI11" s="64">
        <v>1</v>
      </c>
      <c r="AJ11" s="64">
        <v>1</v>
      </c>
      <c r="AK11" s="64">
        <v>1</v>
      </c>
      <c r="AL11" s="64"/>
      <c r="AM11" s="64"/>
      <c r="AN11" s="64"/>
      <c r="AO11" s="64"/>
      <c r="AP11" s="64"/>
      <c r="AS11" s="64"/>
      <c r="AT11" s="64"/>
      <c r="AU11" s="64"/>
      <c r="AV11" s="61"/>
      <c r="AW11" s="61"/>
      <c r="AX11" s="61"/>
      <c r="AY11" s="61"/>
      <c r="AZ11" s="61"/>
      <c r="BA11" s="61"/>
    </row>
    <row r="12" spans="1:61">
      <c r="A12" s="61">
        <v>11</v>
      </c>
      <c r="B12" s="31" t="str">
        <f>IF($D12=0,"",VLOOKUP($D12,'Project IO'!$B:$E,3,FALSE))</f>
        <v>Plan</v>
      </c>
      <c r="C12" s="31" t="str">
        <f>IF($D12=0,"",VLOOKUP($D12,'Project IO'!$B:$E,4,FALSE))</f>
        <v>Lead</v>
      </c>
      <c r="D12" s="62" t="str">
        <f t="shared" si="2"/>
        <v>Kanara</v>
      </c>
      <c r="E12" s="62" t="str">
        <f>IF($H12=0,"",VLOOKUP($H12,정원!$D:$G,2,FALSE))</f>
        <v>NPI IS</v>
      </c>
      <c r="F12" s="62" t="str">
        <f>IF($H12=0,"",VLOOKUP($H12,정원!$D:$G,3,FALSE))</f>
        <v>Mechanical</v>
      </c>
      <c r="G12" s="62" t="str">
        <f>IF($H12=0,"",VLOOKUP($H12,정원!$D:$G,4,FALSE))</f>
        <v>Leader</v>
      </c>
      <c r="H12" s="65" t="s">
        <v>73</v>
      </c>
      <c r="I12" s="73">
        <v>46598</v>
      </c>
      <c r="J12" s="73">
        <f t="shared" si="3"/>
        <v>46748</v>
      </c>
      <c r="K12" s="61"/>
      <c r="L12" s="61"/>
      <c r="M12" s="61"/>
      <c r="N12" s="61"/>
      <c r="O12" s="61"/>
      <c r="P12" s="61"/>
      <c r="Q12" s="61"/>
      <c r="X12" s="64">
        <v>0.1</v>
      </c>
      <c r="Y12" s="64">
        <v>0.1</v>
      </c>
      <c r="Z12" s="64">
        <v>0.2</v>
      </c>
      <c r="AA12" s="64">
        <v>0.2</v>
      </c>
      <c r="AB12" s="64">
        <v>0.2</v>
      </c>
      <c r="AC12" s="64">
        <v>0.2</v>
      </c>
      <c r="AD12" s="64">
        <v>0.2</v>
      </c>
      <c r="AE12" s="64">
        <v>0.2</v>
      </c>
      <c r="AF12" s="64">
        <v>0.2</v>
      </c>
      <c r="AG12" s="64">
        <v>0.2</v>
      </c>
      <c r="AH12" s="64">
        <v>0.2</v>
      </c>
      <c r="AI12" s="64">
        <v>0.2</v>
      </c>
      <c r="AJ12" s="64">
        <v>0.2</v>
      </c>
      <c r="AK12" s="64">
        <v>0.2</v>
      </c>
      <c r="AL12" s="64">
        <v>0.2</v>
      </c>
      <c r="AM12" s="64">
        <v>0.2</v>
      </c>
      <c r="AN12" s="64">
        <v>0.2</v>
      </c>
      <c r="AO12" s="64">
        <v>0.2</v>
      </c>
      <c r="AP12" s="64">
        <v>0.2</v>
      </c>
      <c r="AS12" s="64"/>
      <c r="AT12" s="64"/>
      <c r="AU12" s="64"/>
      <c r="AV12" s="61"/>
      <c r="AW12" s="61"/>
      <c r="AX12" s="61"/>
      <c r="AY12" s="61"/>
      <c r="AZ12" s="61"/>
      <c r="BA12" s="61"/>
    </row>
    <row r="13" spans="1:61">
      <c r="A13" s="61">
        <v>12</v>
      </c>
      <c r="B13" s="31" t="str">
        <f>IF($D13=0,"",VLOOKUP($D13,'Project IO'!$B:$E,3,FALSE))</f>
        <v>Plan</v>
      </c>
      <c r="C13" s="31" t="str">
        <f>IF($D13=0,"",VLOOKUP($D13,'Project IO'!$B:$E,4,FALSE))</f>
        <v>Lead</v>
      </c>
      <c r="D13" s="62" t="str">
        <f t="shared" si="2"/>
        <v>Kanara</v>
      </c>
      <c r="E13" s="62" t="str">
        <f>IF($H13=0,"",VLOOKUP($H13,정원!$D:$G,2,FALSE))</f>
        <v>NPI IS</v>
      </c>
      <c r="F13" s="62" t="str">
        <f>IF($H13=0,"",VLOOKUP($H13,정원!$D:$G,3,FALSE))</f>
        <v>Mechanical</v>
      </c>
      <c r="G13" s="62" t="str">
        <f>IF($H13=0,"",VLOOKUP($H13,정원!$D:$G,4,FALSE))</f>
        <v>Mechanical engineer</v>
      </c>
      <c r="H13" s="65" t="s">
        <v>74</v>
      </c>
      <c r="I13" s="73">
        <v>46598</v>
      </c>
      <c r="J13" s="73">
        <f t="shared" si="3"/>
        <v>46748</v>
      </c>
      <c r="K13" s="61"/>
      <c r="L13" s="61"/>
      <c r="M13" s="61"/>
      <c r="N13" s="61"/>
      <c r="O13" s="61"/>
      <c r="P13" s="61"/>
      <c r="Q13" s="61"/>
      <c r="X13" s="64">
        <v>1</v>
      </c>
      <c r="Y13" s="64">
        <v>1</v>
      </c>
      <c r="Z13" s="64">
        <v>1</v>
      </c>
      <c r="AA13" s="64">
        <v>1</v>
      </c>
      <c r="AB13" s="64">
        <v>1</v>
      </c>
      <c r="AC13" s="64">
        <v>1</v>
      </c>
      <c r="AD13" s="64">
        <v>1</v>
      </c>
      <c r="AE13" s="64">
        <v>1</v>
      </c>
      <c r="AF13" s="64">
        <v>1</v>
      </c>
      <c r="AG13" s="64">
        <v>1</v>
      </c>
      <c r="AH13" s="64">
        <v>1</v>
      </c>
      <c r="AI13" s="64">
        <v>1</v>
      </c>
      <c r="AJ13" s="64">
        <v>1</v>
      </c>
      <c r="AK13" s="64">
        <v>1</v>
      </c>
      <c r="AL13" s="64">
        <v>1</v>
      </c>
      <c r="AM13" s="64">
        <v>1</v>
      </c>
      <c r="AN13" s="64">
        <v>1</v>
      </c>
      <c r="AO13" s="64">
        <v>1</v>
      </c>
      <c r="AP13" s="64">
        <v>1</v>
      </c>
      <c r="AS13" s="64"/>
      <c r="AT13" s="64"/>
      <c r="AU13" s="64"/>
      <c r="AV13" s="61"/>
      <c r="AW13" s="61"/>
      <c r="AX13" s="61"/>
      <c r="AY13" s="61"/>
      <c r="AZ13" s="61"/>
      <c r="BA13" s="61"/>
    </row>
    <row r="14" spans="1:61">
      <c r="A14" s="61">
        <v>13</v>
      </c>
      <c r="B14" s="31" t="str">
        <f>IF($D14=0,"",VLOOKUP($D14,'Project IO'!$B:$E,3,FALSE))</f>
        <v>Plan</v>
      </c>
      <c r="C14" s="31" t="str">
        <f>IF($D14=0,"",VLOOKUP($D14,'Project IO'!$B:$E,4,FALSE))</f>
        <v>Lead</v>
      </c>
      <c r="D14" s="62" t="str">
        <f t="shared" si="2"/>
        <v>Kanara</v>
      </c>
      <c r="E14" s="62" t="str">
        <f>IF($H14=0,"",VLOOKUP($H14,정원!$D:$G,2,FALSE))</f>
        <v>NPI IS</v>
      </c>
      <c r="F14" s="62" t="str">
        <f>IF($H14=0,"",VLOOKUP($H14,정원!$D:$G,3,FALSE))</f>
        <v>Mechanical</v>
      </c>
      <c r="G14" s="62" t="str">
        <f>IF($H14=0,"",VLOOKUP($H14,정원!$D:$G,4,FALSE))</f>
        <v>Mechanical engineer</v>
      </c>
      <c r="H14" s="65" t="s">
        <v>74</v>
      </c>
      <c r="I14" s="73">
        <v>46598</v>
      </c>
      <c r="J14" s="73">
        <f t="shared" si="3"/>
        <v>46748</v>
      </c>
      <c r="K14" s="61"/>
      <c r="L14" s="61"/>
      <c r="M14" s="61"/>
      <c r="N14" s="61"/>
      <c r="O14" s="61"/>
      <c r="P14" s="61"/>
      <c r="Q14" s="61"/>
      <c r="X14" s="64"/>
      <c r="Y14" s="64"/>
      <c r="Z14" s="64"/>
      <c r="AA14" s="64">
        <v>1</v>
      </c>
      <c r="AB14" s="64">
        <v>1</v>
      </c>
      <c r="AC14" s="64">
        <v>1</v>
      </c>
      <c r="AD14" s="64">
        <v>1</v>
      </c>
      <c r="AE14" s="64">
        <v>1</v>
      </c>
      <c r="AF14" s="64">
        <v>1</v>
      </c>
      <c r="AG14" s="64">
        <v>1</v>
      </c>
      <c r="AH14" s="64">
        <v>1</v>
      </c>
      <c r="AI14" s="64">
        <v>1</v>
      </c>
      <c r="AJ14" s="64">
        <v>1</v>
      </c>
      <c r="AK14" s="64">
        <v>1</v>
      </c>
      <c r="AL14" s="64">
        <v>1</v>
      </c>
      <c r="AM14" s="64">
        <v>1</v>
      </c>
      <c r="AN14" s="64">
        <v>1</v>
      </c>
      <c r="AO14" s="64">
        <v>1</v>
      </c>
      <c r="AP14" s="64">
        <v>1</v>
      </c>
      <c r="AS14" s="64"/>
      <c r="AT14" s="64"/>
      <c r="AU14" s="64"/>
      <c r="AV14" s="61"/>
      <c r="AW14" s="61"/>
      <c r="AX14" s="61"/>
      <c r="AY14" s="61"/>
      <c r="AZ14" s="61"/>
      <c r="BA14" s="61"/>
    </row>
    <row r="15" spans="1:61">
      <c r="A15" s="61">
        <v>14</v>
      </c>
      <c r="B15" s="31" t="str">
        <f>IF($D15=0,"",VLOOKUP($D15,'Project IO'!$B:$E,3,FALSE))</f>
        <v>Plan</v>
      </c>
      <c r="C15" s="31" t="str">
        <f>IF($D15=0,"",VLOOKUP($D15,'Project IO'!$B:$E,4,FALSE))</f>
        <v>Lead</v>
      </c>
      <c r="D15" s="62" t="str">
        <f t="shared" si="2"/>
        <v>Kanara</v>
      </c>
      <c r="E15" s="62" t="str">
        <f>IF($H15=0,"",VLOOKUP($H15,정원!$D:$G,2,FALSE))</f>
        <v>NPI IS</v>
      </c>
      <c r="F15" s="62" t="str">
        <f>IF($H15=0,"",VLOOKUP($H15,정원!$D:$G,3,FALSE))</f>
        <v>Mechanical</v>
      </c>
      <c r="G15" s="62" t="str">
        <f>IF($H15=0,"",VLOOKUP($H15,정원!$D:$G,4,FALSE))</f>
        <v>Mechanical engineer</v>
      </c>
      <c r="H15" s="65" t="s">
        <v>74</v>
      </c>
      <c r="I15" s="73">
        <v>46598</v>
      </c>
      <c r="J15" s="73">
        <f t="shared" si="3"/>
        <v>46748</v>
      </c>
      <c r="K15" s="61"/>
      <c r="L15" s="61"/>
      <c r="M15" s="61"/>
      <c r="N15" s="61"/>
      <c r="O15" s="61"/>
      <c r="P15" s="61"/>
      <c r="Q15" s="61"/>
      <c r="X15" s="64"/>
      <c r="Y15" s="64"/>
      <c r="Z15" s="64"/>
      <c r="AA15" s="64">
        <v>1</v>
      </c>
      <c r="AB15" s="64">
        <v>1</v>
      </c>
      <c r="AC15" s="64">
        <v>1</v>
      </c>
      <c r="AD15" s="64">
        <v>1</v>
      </c>
      <c r="AE15" s="64">
        <v>1</v>
      </c>
      <c r="AF15" s="64">
        <v>1</v>
      </c>
      <c r="AG15" s="64">
        <v>1</v>
      </c>
      <c r="AH15" s="64">
        <v>1</v>
      </c>
      <c r="AI15" s="64">
        <v>1</v>
      </c>
      <c r="AJ15" s="64">
        <v>1</v>
      </c>
      <c r="AK15" s="64">
        <v>1</v>
      </c>
      <c r="AL15" s="64"/>
      <c r="AM15" s="64"/>
      <c r="AN15" s="64"/>
      <c r="AO15" s="64"/>
      <c r="AP15" s="64"/>
      <c r="AS15" s="64"/>
      <c r="AT15" s="64"/>
      <c r="AU15" s="64"/>
      <c r="AV15" s="61"/>
      <c r="AW15" s="61"/>
      <c r="AX15" s="61"/>
      <c r="AY15" s="61"/>
      <c r="AZ15" s="61"/>
      <c r="BA15" s="61"/>
    </row>
    <row r="16" spans="1:61">
      <c r="A16" s="61">
        <v>15</v>
      </c>
      <c r="B16" s="31" t="str">
        <f>IF($D16=0,"",VLOOKUP($D16,'Project IO'!$B:$E,3,FALSE))</f>
        <v>Plan</v>
      </c>
      <c r="C16" s="31" t="str">
        <f>IF($D16=0,"",VLOOKUP($D16,'Project IO'!$B:$E,4,FALSE))</f>
        <v>Lead</v>
      </c>
      <c r="D16" s="62" t="str">
        <f t="shared" si="2"/>
        <v>Kanara</v>
      </c>
      <c r="E16" s="62" t="str">
        <f>IF($H16=0,"",VLOOKUP($H16,정원!$D:$G,2,FALSE))</f>
        <v>Control Eng.</v>
      </c>
      <c r="F16" s="62" t="str">
        <f>IF($H16=0,"",VLOOKUP($H16,정원!$D:$G,3,FALSE))</f>
        <v>* Manager</v>
      </c>
      <c r="G16" s="62" t="str">
        <f>IF($H16=0,"",VLOOKUP($H16,정원!$D:$G,4,FALSE))</f>
        <v>* Manager</v>
      </c>
      <c r="H16" s="61" t="s">
        <v>75</v>
      </c>
      <c r="I16" s="73">
        <v>46598</v>
      </c>
      <c r="J16" s="73">
        <f t="shared" si="3"/>
        <v>46748</v>
      </c>
      <c r="K16" s="61"/>
      <c r="L16" s="61"/>
      <c r="M16" s="61"/>
      <c r="N16" s="61"/>
      <c r="O16" s="61"/>
      <c r="P16" s="61"/>
      <c r="Q16" s="61"/>
      <c r="X16" s="61">
        <v>0.1</v>
      </c>
      <c r="Y16" s="61">
        <v>0.1</v>
      </c>
      <c r="Z16" s="61">
        <v>0.1</v>
      </c>
      <c r="AA16" s="61">
        <v>0.1</v>
      </c>
      <c r="AB16" s="61">
        <v>0.1</v>
      </c>
      <c r="AC16" s="61">
        <v>0.1</v>
      </c>
      <c r="AD16" s="61">
        <v>0.1</v>
      </c>
      <c r="AE16" s="61">
        <v>0.1</v>
      </c>
      <c r="AF16" s="61">
        <v>0.1</v>
      </c>
      <c r="AG16" s="61">
        <v>0.1</v>
      </c>
      <c r="AH16" s="61">
        <v>0.1</v>
      </c>
      <c r="AI16" s="61">
        <v>0.1</v>
      </c>
      <c r="AJ16" s="61">
        <v>0.1</v>
      </c>
      <c r="AK16" s="61">
        <v>0.1</v>
      </c>
      <c r="AL16" s="61">
        <v>0.1</v>
      </c>
      <c r="AM16" s="61">
        <v>0.1</v>
      </c>
      <c r="AN16" s="61">
        <v>0.1</v>
      </c>
      <c r="AO16" s="61">
        <v>0.1</v>
      </c>
      <c r="AP16" s="61">
        <v>0.1</v>
      </c>
      <c r="AS16" s="61"/>
      <c r="AT16" s="61"/>
      <c r="AU16" s="61"/>
      <c r="AV16" s="61"/>
      <c r="AW16" s="61"/>
      <c r="AX16" s="61"/>
      <c r="AY16" s="61"/>
      <c r="AZ16" s="61"/>
      <c r="BA16" s="61"/>
    </row>
    <row r="17" spans="1:53">
      <c r="A17" s="61">
        <v>16</v>
      </c>
      <c r="B17" s="31" t="str">
        <f>IF($D17=0,"",VLOOKUP($D17,'Project IO'!$B:$E,3,FALSE))</f>
        <v>Plan</v>
      </c>
      <c r="C17" s="31" t="str">
        <f>IF($D17=0,"",VLOOKUP($D17,'Project IO'!$B:$E,4,FALSE))</f>
        <v>Lead</v>
      </c>
      <c r="D17" s="62" t="str">
        <f t="shared" si="2"/>
        <v>Kanara</v>
      </c>
      <c r="E17" s="62" t="str">
        <f>IF($H17=0,"",VLOOKUP($H17,정원!$D:$G,2,FALSE))</f>
        <v>Control Eng.</v>
      </c>
      <c r="F17" s="62" t="str">
        <f>IF($H17=0,"",VLOOKUP($H17,정원!$D:$G,3,FALSE))</f>
        <v>Software</v>
      </c>
      <c r="G17" s="62" t="str">
        <f>IF($H17=0,"",VLOOKUP($H17,정원!$D:$G,4,FALSE))</f>
        <v>Leader</v>
      </c>
      <c r="H17" s="61" t="s">
        <v>76</v>
      </c>
      <c r="I17" s="73">
        <v>46598</v>
      </c>
      <c r="J17" s="73">
        <f t="shared" si="3"/>
        <v>46748</v>
      </c>
      <c r="K17" s="61"/>
      <c r="L17" s="61"/>
      <c r="M17" s="61"/>
      <c r="N17" s="61"/>
      <c r="O17" s="61"/>
      <c r="P17" s="61"/>
      <c r="Q17" s="61"/>
      <c r="X17" s="61">
        <v>0.2</v>
      </c>
      <c r="Y17" s="61">
        <v>0.2</v>
      </c>
      <c r="Z17" s="61">
        <v>0.2</v>
      </c>
      <c r="AA17" s="61">
        <v>0.2</v>
      </c>
      <c r="AB17" s="61">
        <v>0.2</v>
      </c>
      <c r="AC17" s="61">
        <v>0.2</v>
      </c>
      <c r="AD17" s="61">
        <v>0.2</v>
      </c>
      <c r="AE17" s="61">
        <v>0.2</v>
      </c>
      <c r="AF17" s="61">
        <v>0.2</v>
      </c>
      <c r="AG17" s="61">
        <v>0.2</v>
      </c>
      <c r="AH17" s="61">
        <v>0.2</v>
      </c>
      <c r="AI17" s="61">
        <v>0.2</v>
      </c>
      <c r="AJ17" s="61">
        <v>0.2</v>
      </c>
      <c r="AK17" s="61">
        <v>0.2</v>
      </c>
      <c r="AL17" s="61">
        <v>0.2</v>
      </c>
      <c r="AM17" s="61">
        <v>0.2</v>
      </c>
      <c r="AN17" s="61">
        <v>0.2</v>
      </c>
      <c r="AO17" s="61">
        <v>0.2</v>
      </c>
      <c r="AP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spans="1:53">
      <c r="A18" s="61">
        <v>17</v>
      </c>
      <c r="B18" s="31" t="str">
        <f>IF($D18=0,"",VLOOKUP($D18,'Project IO'!$B:$E,3,FALSE))</f>
        <v>Plan</v>
      </c>
      <c r="C18" s="31" t="str">
        <f>IF($D18=0,"",VLOOKUP($D18,'Project IO'!$B:$E,4,FALSE))</f>
        <v>Lead</v>
      </c>
      <c r="D18" s="62" t="str">
        <f t="shared" si="2"/>
        <v>Kanara</v>
      </c>
      <c r="E18" s="62" t="str">
        <f>IF($H18=0,"",VLOOKUP($H18,정원!$D:$G,2,FALSE))</f>
        <v>Control Eng.</v>
      </c>
      <c r="F18" s="62" t="str">
        <f>IF($H18=0,"",VLOOKUP($H18,정원!$D:$G,3,FALSE))</f>
        <v>Software</v>
      </c>
      <c r="G18" s="62" t="str">
        <f>IF($H18=0,"",VLOOKUP($H18,정원!$D:$G,4,FALSE))</f>
        <v>Software engineer</v>
      </c>
      <c r="H18" s="66" t="s">
        <v>77</v>
      </c>
      <c r="I18" s="73">
        <v>46598</v>
      </c>
      <c r="J18" s="73">
        <f t="shared" si="3"/>
        <v>46748</v>
      </c>
      <c r="K18" s="61"/>
      <c r="L18" s="61"/>
      <c r="M18" s="61"/>
      <c r="N18" s="61"/>
      <c r="O18" s="61"/>
      <c r="P18" s="61"/>
      <c r="Q18" s="61"/>
      <c r="X18" s="61">
        <v>1</v>
      </c>
      <c r="Y18" s="61">
        <v>1</v>
      </c>
      <c r="Z18" s="61">
        <v>1</v>
      </c>
      <c r="AA18" s="61">
        <v>1</v>
      </c>
      <c r="AB18" s="61">
        <v>1</v>
      </c>
      <c r="AC18" s="61">
        <v>1</v>
      </c>
      <c r="AD18" s="61">
        <v>1</v>
      </c>
      <c r="AE18" s="61">
        <v>1</v>
      </c>
      <c r="AF18" s="61">
        <v>1</v>
      </c>
      <c r="AG18" s="61">
        <v>1</v>
      </c>
      <c r="AH18" s="61">
        <v>1</v>
      </c>
      <c r="AI18" s="61">
        <v>1</v>
      </c>
      <c r="AJ18" s="61">
        <v>1</v>
      </c>
      <c r="AK18" s="61">
        <v>1</v>
      </c>
      <c r="AL18" s="61">
        <v>1</v>
      </c>
      <c r="AM18" s="61">
        <v>1</v>
      </c>
      <c r="AN18" s="61">
        <v>1</v>
      </c>
      <c r="AO18" s="61">
        <v>1</v>
      </c>
      <c r="AP18" s="61">
        <v>1</v>
      </c>
      <c r="AS18" s="61"/>
      <c r="AT18" s="61"/>
      <c r="AU18" s="61"/>
      <c r="AV18" s="61"/>
      <c r="AW18" s="61"/>
      <c r="AX18" s="61"/>
      <c r="AY18" s="61"/>
      <c r="AZ18" s="61"/>
      <c r="BA18" s="61"/>
    </row>
    <row r="19" spans="1:53">
      <c r="A19" s="61">
        <v>18</v>
      </c>
      <c r="B19" s="31" t="str">
        <f>IF($D19=0,"",VLOOKUP($D19,'Project IO'!$B:$E,3,FALSE))</f>
        <v>Plan</v>
      </c>
      <c r="C19" s="31" t="str">
        <f>IF($D19=0,"",VLOOKUP($D19,'Project IO'!$B:$E,4,FALSE))</f>
        <v>Lead</v>
      </c>
      <c r="D19" s="62" t="str">
        <f t="shared" si="2"/>
        <v>Kanara</v>
      </c>
      <c r="E19" s="62" t="str">
        <f>IF($H19=0,"",VLOOKUP($H19,정원!$D:$G,2,FALSE))</f>
        <v>Control Eng.</v>
      </c>
      <c r="F19" s="62" t="str">
        <f>IF($H19=0,"",VLOOKUP($H19,정원!$D:$G,3,FALSE))</f>
        <v>Software</v>
      </c>
      <c r="G19" s="62" t="str">
        <f>IF($H19=0,"",VLOOKUP($H19,정원!$D:$G,4,FALSE))</f>
        <v>SW test engineer</v>
      </c>
      <c r="H19" s="66" t="s">
        <v>78</v>
      </c>
      <c r="I19" s="73">
        <v>46598</v>
      </c>
      <c r="J19" s="73">
        <f t="shared" si="3"/>
        <v>46748</v>
      </c>
      <c r="K19" s="61"/>
      <c r="L19" s="61"/>
      <c r="M19" s="61"/>
      <c r="N19" s="61"/>
      <c r="O19" s="61"/>
      <c r="P19" s="61"/>
      <c r="Q19" s="61"/>
      <c r="X19" s="61"/>
      <c r="Y19" s="61"/>
      <c r="Z19" s="61"/>
      <c r="AA19" s="61"/>
      <c r="AB19" s="61"/>
      <c r="AC19" s="61"/>
      <c r="AD19" s="61"/>
      <c r="AE19" s="61">
        <v>1</v>
      </c>
      <c r="AF19" s="61">
        <v>1</v>
      </c>
      <c r="AG19" s="61">
        <v>1</v>
      </c>
      <c r="AH19" s="61">
        <v>1</v>
      </c>
      <c r="AI19" s="61">
        <v>1</v>
      </c>
      <c r="AJ19" s="61">
        <v>1</v>
      </c>
      <c r="AK19" s="61">
        <v>1</v>
      </c>
      <c r="AL19" s="61">
        <v>1</v>
      </c>
      <c r="AM19" s="61">
        <v>1</v>
      </c>
      <c r="AN19" s="61">
        <v>1</v>
      </c>
      <c r="AO19" s="61">
        <v>1</v>
      </c>
      <c r="AP19" s="61">
        <v>1</v>
      </c>
      <c r="AS19" s="61"/>
      <c r="AT19" s="61"/>
      <c r="AU19" s="61"/>
      <c r="AV19" s="61"/>
      <c r="AW19" s="61"/>
      <c r="AX19" s="61"/>
      <c r="AY19" s="61"/>
      <c r="AZ19" s="61"/>
      <c r="BA19" s="61"/>
    </row>
    <row r="20" spans="1:53">
      <c r="A20" s="61">
        <v>19</v>
      </c>
      <c r="B20" s="31" t="str">
        <f>IF($D20=0,"",VLOOKUP($D20,'Project IO'!$B:$E,3,FALSE))</f>
        <v>Plan</v>
      </c>
      <c r="C20" s="31" t="str">
        <f>IF($D20=0,"",VLOOKUP($D20,'Project IO'!$B:$E,4,FALSE))</f>
        <v>Lead</v>
      </c>
      <c r="D20" s="62" t="str">
        <f t="shared" si="2"/>
        <v>Kanara</v>
      </c>
      <c r="E20" s="62" t="str">
        <f>IF($H20=0,"",VLOOKUP($H20,정원!$D:$G,2,FALSE))</f>
        <v>Control Eng.</v>
      </c>
      <c r="F20" s="62" t="str">
        <f>IF($H20=0,"",VLOOKUP($H20,정원!$D:$G,3,FALSE))</f>
        <v>Electrical</v>
      </c>
      <c r="G20" s="62" t="str">
        <f>IF($H20=0,"",VLOOKUP($H20,정원!$D:$G,4,FALSE))</f>
        <v>Leader</v>
      </c>
      <c r="H20" s="61" t="s">
        <v>79</v>
      </c>
      <c r="I20" s="73">
        <v>46598</v>
      </c>
      <c r="J20" s="73">
        <f t="shared" si="3"/>
        <v>46748</v>
      </c>
      <c r="K20" s="61"/>
      <c r="L20" s="61"/>
      <c r="M20" s="61"/>
      <c r="N20" s="61"/>
      <c r="O20" s="61"/>
      <c r="P20" s="61"/>
      <c r="Q20" s="61"/>
      <c r="X20" s="61"/>
      <c r="Y20" s="61"/>
      <c r="Z20" s="61">
        <v>0.2</v>
      </c>
      <c r="AA20" s="61">
        <v>0.2</v>
      </c>
      <c r="AB20" s="61">
        <v>0.2</v>
      </c>
      <c r="AC20" s="61">
        <v>0.2</v>
      </c>
      <c r="AD20" s="61">
        <v>0.2</v>
      </c>
      <c r="AE20" s="61">
        <v>0.2</v>
      </c>
      <c r="AF20" s="61">
        <v>0.2</v>
      </c>
      <c r="AG20" s="61">
        <v>0.2</v>
      </c>
      <c r="AH20" s="61">
        <v>0.2</v>
      </c>
      <c r="AI20" s="61">
        <v>0.2</v>
      </c>
      <c r="AJ20" s="61">
        <v>0.2</v>
      </c>
      <c r="AK20" s="61">
        <v>0.2</v>
      </c>
      <c r="AL20" s="61">
        <v>0.2</v>
      </c>
      <c r="AM20" s="61">
        <v>0.2</v>
      </c>
      <c r="AN20" s="61">
        <v>0.2</v>
      </c>
      <c r="AO20" s="61">
        <v>0.2</v>
      </c>
      <c r="AP20" s="61">
        <v>0.2</v>
      </c>
      <c r="AS20" s="61"/>
      <c r="AT20" s="61"/>
      <c r="AU20" s="61"/>
      <c r="AV20" s="61"/>
      <c r="AW20" s="61"/>
      <c r="AX20" s="61"/>
      <c r="AY20" s="61"/>
      <c r="AZ20" s="61"/>
      <c r="BA20" s="61"/>
    </row>
    <row r="21" spans="1:53">
      <c r="A21" s="61">
        <v>20</v>
      </c>
      <c r="B21" s="31" t="str">
        <f>IF($D21=0,"",VLOOKUP($D21,'Project IO'!$B:$E,3,FALSE))</f>
        <v>Plan</v>
      </c>
      <c r="C21" s="31" t="str">
        <f>IF($D21=0,"",VLOOKUP($D21,'Project IO'!$B:$E,4,FALSE))</f>
        <v>Lead</v>
      </c>
      <c r="D21" s="62" t="str">
        <f t="shared" si="2"/>
        <v>Kanara</v>
      </c>
      <c r="E21" s="62" t="str">
        <f>IF($H21=0,"",VLOOKUP($H21,정원!$D:$G,2,FALSE))</f>
        <v>Control Eng.</v>
      </c>
      <c r="F21" s="62" t="str">
        <f>IF($H21=0,"",VLOOKUP($H21,정원!$D:$G,3,FALSE))</f>
        <v>Electrical</v>
      </c>
      <c r="G21" s="62" t="str">
        <f>IF($H21=0,"",VLOOKUP($H21,정원!$D:$G,4,FALSE))</f>
        <v>Electrical engineer</v>
      </c>
      <c r="H21" s="68" t="s">
        <v>276</v>
      </c>
      <c r="I21" s="73">
        <v>46598</v>
      </c>
      <c r="J21" s="73">
        <f t="shared" si="3"/>
        <v>46748</v>
      </c>
      <c r="K21" s="61"/>
      <c r="L21" s="61"/>
      <c r="M21" s="61"/>
      <c r="N21" s="61"/>
      <c r="O21" s="61"/>
      <c r="P21" s="61"/>
      <c r="Q21" s="61"/>
      <c r="X21" s="61"/>
      <c r="Y21" s="61"/>
      <c r="Z21" s="61">
        <v>1</v>
      </c>
      <c r="AA21" s="61">
        <v>1</v>
      </c>
      <c r="AB21" s="61">
        <v>1</v>
      </c>
      <c r="AC21" s="61">
        <v>1</v>
      </c>
      <c r="AD21" s="61">
        <v>1</v>
      </c>
      <c r="AE21" s="61">
        <v>1</v>
      </c>
      <c r="AF21" s="61">
        <v>1</v>
      </c>
      <c r="AG21" s="61">
        <v>1</v>
      </c>
      <c r="AH21" s="61">
        <v>1</v>
      </c>
      <c r="AI21" s="61">
        <v>1</v>
      </c>
      <c r="AJ21" s="61">
        <v>1</v>
      </c>
      <c r="AK21" s="61">
        <v>1</v>
      </c>
      <c r="AL21" s="61">
        <v>1</v>
      </c>
      <c r="AM21" s="61">
        <v>1</v>
      </c>
      <c r="AN21" s="61">
        <v>1</v>
      </c>
      <c r="AO21" s="61">
        <v>1</v>
      </c>
      <c r="AP21" s="61">
        <v>1</v>
      </c>
      <c r="AS21" s="61"/>
      <c r="AT21" s="61"/>
      <c r="AU21" s="61"/>
      <c r="AV21" s="61"/>
      <c r="AW21" s="61"/>
      <c r="AX21" s="61"/>
      <c r="AY21" s="61"/>
      <c r="AZ21" s="61"/>
      <c r="BA21" s="61"/>
    </row>
    <row r="22" spans="1:53">
      <c r="A22" s="61">
        <v>21</v>
      </c>
      <c r="B22" s="31" t="str">
        <f>IF($D22=0,"",VLOOKUP($D22,'Project IO'!$B:$E,3,FALSE))</f>
        <v>Plan</v>
      </c>
      <c r="C22" s="31" t="str">
        <f>IF($D22=0,"",VLOOKUP($D22,'Project IO'!$B:$E,4,FALSE))</f>
        <v>Lead</v>
      </c>
      <c r="D22" s="62" t="str">
        <f t="shared" si="2"/>
        <v>Kanara</v>
      </c>
      <c r="E22" s="62" t="str">
        <f>IF($H22=0,"",VLOOKUP($H22,정원!$D:$G,2,FALSE))</f>
        <v>Control Eng.</v>
      </c>
      <c r="F22" s="62" t="str">
        <f>IF($H22=0,"",VLOOKUP($H22,정원!$D:$G,3,FALSE))</f>
        <v>Electrical</v>
      </c>
      <c r="G22" s="62" t="str">
        <f>IF($H22=0,"",VLOOKUP($H22,정원!$D:$G,4,FALSE))</f>
        <v>Electrical engineer</v>
      </c>
      <c r="H22" s="66" t="s">
        <v>80</v>
      </c>
      <c r="I22" s="73">
        <v>46598</v>
      </c>
      <c r="J22" s="73">
        <f t="shared" si="3"/>
        <v>46748</v>
      </c>
      <c r="K22" s="61"/>
      <c r="L22" s="61"/>
      <c r="M22" s="61"/>
      <c r="N22" s="61"/>
      <c r="O22" s="61"/>
      <c r="P22" s="61"/>
      <c r="Q22" s="61"/>
      <c r="X22" s="61"/>
      <c r="Y22" s="61"/>
      <c r="Z22" s="61">
        <v>1</v>
      </c>
      <c r="AA22" s="61">
        <v>1</v>
      </c>
      <c r="AB22" s="61">
        <v>1</v>
      </c>
      <c r="AC22" s="61">
        <v>1</v>
      </c>
      <c r="AD22" s="61">
        <v>1</v>
      </c>
      <c r="AE22" s="61">
        <v>1</v>
      </c>
      <c r="AF22" s="61">
        <v>1</v>
      </c>
      <c r="AG22" s="61">
        <v>1</v>
      </c>
      <c r="AH22" s="61">
        <v>1</v>
      </c>
      <c r="AI22" s="61">
        <v>1</v>
      </c>
      <c r="AJ22" s="61">
        <v>1</v>
      </c>
      <c r="AK22" s="61">
        <v>1</v>
      </c>
      <c r="AL22" s="61">
        <v>0.5</v>
      </c>
      <c r="AM22" s="61">
        <v>0.5</v>
      </c>
      <c r="AN22" s="61">
        <v>0.5</v>
      </c>
      <c r="AO22" s="61">
        <v>0.5</v>
      </c>
      <c r="AP22" s="61">
        <v>0.5</v>
      </c>
      <c r="AS22" s="61"/>
      <c r="AT22" s="61"/>
      <c r="AU22" s="61"/>
      <c r="AV22" s="61"/>
      <c r="AW22" s="61"/>
      <c r="AX22" s="61"/>
      <c r="AY22" s="61"/>
      <c r="AZ22" s="61"/>
      <c r="BA22" s="61"/>
    </row>
    <row r="23" spans="1:53">
      <c r="A23" s="61">
        <v>22</v>
      </c>
      <c r="B23" s="31" t="str">
        <f>IF($D23=0,"",VLOOKUP($D23,'Project IO'!$B:$E,3,FALSE))</f>
        <v>Plan</v>
      </c>
      <c r="C23" s="31" t="str">
        <f>IF($D23=0,"",VLOOKUP($D23,'Project IO'!$B:$E,4,FALSE))</f>
        <v>Lead</v>
      </c>
      <c r="D23" s="62" t="str">
        <f t="shared" si="2"/>
        <v>Kanara</v>
      </c>
      <c r="E23" s="62">
        <f>IF($H23=0,"",VLOOKUP($H23,정원!$D:$G,2,FALSE))</f>
        <v>0</v>
      </c>
      <c r="F23" s="62">
        <f>IF($H23=0,"",VLOOKUP($H23,정원!$D:$G,3,FALSE))</f>
        <v>0</v>
      </c>
      <c r="G23" s="62">
        <f>IF($H23=0,"",VLOOKUP($H23,정원!$D:$G,4,FALSE))</f>
        <v>0</v>
      </c>
      <c r="H23" s="66" t="s">
        <v>81</v>
      </c>
      <c r="I23" s="73">
        <v>46598</v>
      </c>
      <c r="J23" s="73">
        <f t="shared" si="3"/>
        <v>46748</v>
      </c>
      <c r="K23" s="61"/>
      <c r="N23" s="61"/>
      <c r="O23" s="61"/>
      <c r="P23" s="61"/>
      <c r="Q23" s="61"/>
      <c r="R23" s="61"/>
      <c r="S23" s="61"/>
      <c r="T23" s="61"/>
      <c r="U23" s="61"/>
      <c r="V23" s="61"/>
      <c r="X23" s="61" t="s">
        <v>314</v>
      </c>
      <c r="Y23" s="61"/>
      <c r="Z23" s="61"/>
      <c r="AA23" s="61" t="s">
        <v>301</v>
      </c>
      <c r="AB23" s="61"/>
      <c r="AC23" s="61"/>
      <c r="AD23" s="61"/>
      <c r="AF23" s="61" t="s">
        <v>315</v>
      </c>
      <c r="AG23" s="61"/>
      <c r="AH23" s="61"/>
      <c r="AI23" s="61"/>
      <c r="AJ23" s="61"/>
      <c r="AK23" s="61" t="s">
        <v>64</v>
      </c>
      <c r="AL23" s="61"/>
      <c r="AM23" s="61"/>
      <c r="AN23" s="61"/>
      <c r="AO23" s="61"/>
      <c r="AP23" s="61" t="s">
        <v>65</v>
      </c>
      <c r="AS23" s="61"/>
      <c r="AT23" s="61"/>
      <c r="AU23" s="61"/>
      <c r="AV23" s="61"/>
      <c r="AW23" s="61"/>
      <c r="AX23" s="61"/>
      <c r="AY23" s="61"/>
      <c r="AZ23" s="61"/>
      <c r="BA23" s="61"/>
    </row>
  </sheetData>
  <phoneticPr fontId="1" type="noConversion"/>
  <dataValidations count="2">
    <dataValidation type="list" allowBlank="1" showInputMessage="1" showErrorMessage="1" sqref="E24:E1048576" xr:uid="{52C0A33B-08C9-4DA3-A896-C6DF325A5C83}">
      <formula1>"Engineering, PMO, System engineering, Control Engineering"</formula1>
    </dataValidation>
    <dataValidation type="list" allowBlank="1" showInputMessage="1" showErrorMessage="1" sqref="F24:F1048576" xr:uid="{508A0C6E-A462-4DCB-B406-0AC9A2DF6B11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AB9665-80B4-49D4-8B1E-B02F348435F7}">
          <x14:formula1>
            <xm:f>'Project IO'!$B$4:$B$101</xm:f>
          </x14:formula1>
          <xm:sqref>A1</xm:sqref>
        </x14:dataValidation>
        <x14:dataValidation type="list" allowBlank="1" showInputMessage="1" showErrorMessage="1" xr:uid="{0CE3A757-5EE4-4733-A95F-C61B413F41ED}">
          <x14:formula1>
            <xm:f>정원!$D:$D</xm:f>
          </x14:formula1>
          <xm:sqref>H3:H1048576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BF89-D4F6-4D4C-A416-197CDD5999A5}">
  <sheetPr>
    <tabColor theme="0" tint="-0.14999847407452621"/>
  </sheetPr>
  <dimension ref="A1:BA6"/>
  <sheetViews>
    <sheetView workbookViewId="0">
      <selection activeCell="V28" sqref="V28"/>
    </sheetView>
  </sheetViews>
  <sheetFormatPr defaultColWidth="9" defaultRowHeight="16.5"/>
  <cols>
    <col min="1" max="1" width="13.125" style="51" bestFit="1" customWidth="1"/>
    <col min="2" max="2" width="9.125" style="51" bestFit="1" customWidth="1"/>
    <col min="3" max="4" width="14.625" style="51" customWidth="1"/>
    <col min="5" max="5" width="13.625" style="51" bestFit="1" customWidth="1"/>
    <col min="6" max="6" width="20.125" style="51" bestFit="1" customWidth="1"/>
    <col min="7" max="7" width="15.125" style="51" bestFit="1" customWidth="1"/>
    <col min="8" max="8" width="9.625" style="51" bestFit="1" customWidth="1"/>
    <col min="9" max="16384" width="9" style="51"/>
  </cols>
  <sheetData>
    <row r="1" spans="1:53" ht="27" customHeight="1">
      <c r="A1" s="48" t="s">
        <v>217</v>
      </c>
      <c r="B1" s="49">
        <f>IF($A$1=0,"",VLOOKUP(A1,'Project IO'!$B$4:$C$101,2,FALSE))</f>
        <v>406372</v>
      </c>
      <c r="C1" s="49"/>
      <c r="D1" s="50" t="s">
        <v>53</v>
      </c>
      <c r="E1" s="51" t="s">
        <v>54</v>
      </c>
      <c r="F1" s="52" t="s">
        <v>44</v>
      </c>
      <c r="G1" s="53">
        <v>0</v>
      </c>
      <c r="H1" s="52" t="s">
        <v>45</v>
      </c>
      <c r="I1" s="54">
        <v>45840</v>
      </c>
      <c r="J1" s="83" t="s">
        <v>55</v>
      </c>
      <c r="K1" s="51">
        <f t="shared" ref="K1:BA1" si="0">SUM(K3:K1048576)</f>
        <v>0.60000000000000009</v>
      </c>
      <c r="L1" s="51">
        <f t="shared" si="0"/>
        <v>0</v>
      </c>
      <c r="M1" s="51">
        <f t="shared" si="0"/>
        <v>0</v>
      </c>
      <c r="N1" s="51">
        <f t="shared" si="0"/>
        <v>0</v>
      </c>
      <c r="O1" s="51">
        <f t="shared" si="0"/>
        <v>0</v>
      </c>
      <c r="P1" s="51">
        <f t="shared" si="0"/>
        <v>0</v>
      </c>
      <c r="Q1" s="51">
        <f t="shared" si="0"/>
        <v>0</v>
      </c>
      <c r="R1" s="51">
        <f t="shared" si="0"/>
        <v>0</v>
      </c>
      <c r="S1" s="51">
        <f t="shared" si="0"/>
        <v>0</v>
      </c>
      <c r="T1" s="51">
        <f t="shared" si="0"/>
        <v>0</v>
      </c>
      <c r="U1" s="51">
        <f t="shared" si="0"/>
        <v>0</v>
      </c>
      <c r="V1" s="51">
        <f t="shared" si="0"/>
        <v>0</v>
      </c>
      <c r="W1" s="51">
        <f t="shared" si="0"/>
        <v>0</v>
      </c>
      <c r="X1" s="51">
        <f t="shared" si="0"/>
        <v>0</v>
      </c>
      <c r="Y1" s="51">
        <f t="shared" si="0"/>
        <v>0</v>
      </c>
      <c r="Z1" s="51">
        <f t="shared" si="0"/>
        <v>0</v>
      </c>
      <c r="AA1" s="51">
        <f t="shared" si="0"/>
        <v>0</v>
      </c>
      <c r="AB1" s="51">
        <f t="shared" si="0"/>
        <v>0</v>
      </c>
      <c r="AC1" s="51">
        <f t="shared" si="0"/>
        <v>0</v>
      </c>
      <c r="AD1" s="51">
        <f t="shared" si="0"/>
        <v>0</v>
      </c>
      <c r="AE1" s="51">
        <f t="shared" si="0"/>
        <v>0</v>
      </c>
      <c r="AF1" s="51">
        <f t="shared" si="0"/>
        <v>0</v>
      </c>
      <c r="AG1" s="51">
        <f t="shared" si="0"/>
        <v>0</v>
      </c>
      <c r="AH1" s="51">
        <f t="shared" si="0"/>
        <v>0</v>
      </c>
      <c r="AI1" s="51">
        <f t="shared" si="0"/>
        <v>0</v>
      </c>
      <c r="AJ1" s="51">
        <f t="shared" si="0"/>
        <v>0</v>
      </c>
      <c r="AK1" s="51">
        <f t="shared" si="0"/>
        <v>0</v>
      </c>
      <c r="AL1" s="51">
        <f t="shared" si="0"/>
        <v>0</v>
      </c>
      <c r="AM1" s="51">
        <f t="shared" si="0"/>
        <v>0</v>
      </c>
      <c r="AN1" s="51">
        <f t="shared" si="0"/>
        <v>0</v>
      </c>
      <c r="AO1" s="51">
        <f t="shared" si="0"/>
        <v>0</v>
      </c>
      <c r="AP1" s="51">
        <f t="shared" si="0"/>
        <v>0</v>
      </c>
      <c r="AQ1" s="51">
        <f t="shared" si="0"/>
        <v>0</v>
      </c>
      <c r="AR1" s="51">
        <f t="shared" si="0"/>
        <v>0</v>
      </c>
      <c r="AS1" s="51">
        <f t="shared" si="0"/>
        <v>0</v>
      </c>
      <c r="AT1" s="51">
        <f t="shared" si="0"/>
        <v>0</v>
      </c>
      <c r="AU1" s="51">
        <f t="shared" si="0"/>
        <v>0</v>
      </c>
      <c r="AV1" s="51">
        <f t="shared" si="0"/>
        <v>0</v>
      </c>
      <c r="AW1" s="51">
        <f t="shared" si="0"/>
        <v>0</v>
      </c>
      <c r="AX1" s="51">
        <f t="shared" si="0"/>
        <v>0</v>
      </c>
      <c r="AY1" s="51">
        <f t="shared" si="0"/>
        <v>0</v>
      </c>
      <c r="AZ1" s="51">
        <f t="shared" si="0"/>
        <v>0</v>
      </c>
      <c r="BA1" s="51">
        <f t="shared" si="0"/>
        <v>0</v>
      </c>
    </row>
    <row r="2" spans="1:53">
      <c r="A2" s="55" t="s">
        <v>56</v>
      </c>
      <c r="B2" s="56" t="s">
        <v>57</v>
      </c>
      <c r="C2" s="86" t="s">
        <v>208</v>
      </c>
      <c r="D2" s="56" t="s">
        <v>59</v>
      </c>
      <c r="E2" s="56" t="s">
        <v>60</v>
      </c>
      <c r="F2" s="56" t="s">
        <v>61</v>
      </c>
      <c r="G2" s="56" t="s">
        <v>62</v>
      </c>
      <c r="H2" s="69" t="s">
        <v>86</v>
      </c>
      <c r="I2" s="70" t="s">
        <v>64</v>
      </c>
      <c r="J2" s="70" t="s">
        <v>65</v>
      </c>
      <c r="K2" s="71">
        <v>45833</v>
      </c>
      <c r="L2" s="71">
        <v>45863</v>
      </c>
      <c r="M2" s="71">
        <v>45894</v>
      </c>
      <c r="N2" s="71">
        <v>45925</v>
      </c>
      <c r="O2" s="71">
        <v>45955</v>
      </c>
      <c r="P2" s="71">
        <v>45986</v>
      </c>
      <c r="Q2" s="71">
        <v>46016</v>
      </c>
      <c r="R2" s="71">
        <v>45683</v>
      </c>
      <c r="S2" s="71">
        <v>45714</v>
      </c>
      <c r="T2" s="71">
        <v>45742</v>
      </c>
      <c r="U2" s="71">
        <v>45773</v>
      </c>
      <c r="V2" s="71">
        <v>45803</v>
      </c>
      <c r="W2" s="71">
        <v>45834</v>
      </c>
      <c r="X2" s="71">
        <v>45864</v>
      </c>
      <c r="Y2" s="71">
        <v>45895</v>
      </c>
      <c r="Z2" s="71">
        <v>45926</v>
      </c>
      <c r="AA2" s="71">
        <v>45956</v>
      </c>
      <c r="AB2" s="71">
        <v>45987</v>
      </c>
      <c r="AC2" s="71">
        <v>46017</v>
      </c>
      <c r="AD2" s="71">
        <v>45684</v>
      </c>
      <c r="AE2" s="71">
        <v>45715</v>
      </c>
      <c r="AF2" s="71">
        <v>45743</v>
      </c>
      <c r="AG2" s="71">
        <v>45774</v>
      </c>
      <c r="AH2" s="71">
        <v>45804</v>
      </c>
      <c r="AI2" s="71">
        <v>45835</v>
      </c>
      <c r="AJ2" s="71">
        <v>45865</v>
      </c>
      <c r="AK2" s="71">
        <v>45896</v>
      </c>
      <c r="AL2" s="71">
        <v>45927</v>
      </c>
      <c r="AM2" s="71">
        <v>45957</v>
      </c>
      <c r="AN2" s="71">
        <v>45988</v>
      </c>
      <c r="AO2" s="71">
        <v>46018</v>
      </c>
      <c r="AP2" s="71">
        <v>45685</v>
      </c>
      <c r="AQ2" s="71">
        <v>45716</v>
      </c>
      <c r="AR2" s="71">
        <v>45744</v>
      </c>
      <c r="AS2" s="71">
        <v>45775</v>
      </c>
      <c r="AT2" s="71">
        <v>45805</v>
      </c>
      <c r="AU2" s="71">
        <v>45836</v>
      </c>
      <c r="AV2" s="71">
        <v>45866</v>
      </c>
      <c r="AW2" s="71">
        <v>45897</v>
      </c>
      <c r="AX2" s="71">
        <v>45928</v>
      </c>
      <c r="AY2" s="71">
        <v>45958</v>
      </c>
      <c r="AZ2" s="71">
        <v>45989</v>
      </c>
      <c r="BA2" s="71">
        <v>46019</v>
      </c>
    </row>
    <row r="3" spans="1:53">
      <c r="A3" s="61">
        <v>1</v>
      </c>
      <c r="B3" s="31" t="str">
        <f>IF($D3=0,"",VLOOKUP($D3,'Project IO'!$B:$E,3,FALSE))</f>
        <v>Complete</v>
      </c>
      <c r="C3" s="31" t="str">
        <f>IF($D3=0,"",VLOOKUP($D3,'Project IO'!$B:$E,4,FALSE))</f>
        <v>Launched</v>
      </c>
      <c r="D3" s="62" t="str">
        <f>$A$1</f>
        <v>EUV Zenith Plus</v>
      </c>
      <c r="E3" s="62" t="str">
        <f>IF($H3=0,"",VLOOKUP($H3,정원!$D:$G,2,FALSE))</f>
        <v>PMO</v>
      </c>
      <c r="F3" s="62" t="str">
        <f>IF($H3=0,"",VLOOKUP($H3,정원!$D:$G,3,FALSE))</f>
        <v>* Manager</v>
      </c>
      <c r="G3" s="62" t="str">
        <f>IF($H3=0,"",VLOOKUP($H3,정원!$D:$G,4,FALSE))</f>
        <v>* Manager</v>
      </c>
      <c r="H3" s="61" t="s">
        <v>67</v>
      </c>
      <c r="I3" s="73">
        <v>45991</v>
      </c>
      <c r="J3" s="73">
        <v>46203</v>
      </c>
      <c r="K3" s="61">
        <v>0.2</v>
      </c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spans="1:53">
      <c r="A4" s="61">
        <v>2</v>
      </c>
      <c r="B4" s="31" t="str">
        <f>IF($D4=0,"",VLOOKUP($D4,'Project IO'!$B:$E,3,FALSE))</f>
        <v>Complete</v>
      </c>
      <c r="C4" s="31" t="str">
        <f>IF($D4=0,"",VLOOKUP($D4,'Project IO'!$B:$E,4,FALSE))</f>
        <v>Launched</v>
      </c>
      <c r="D4" s="62" t="str">
        <f t="shared" ref="D4:D6" si="1">$A$1</f>
        <v>EUV Zenith Plus</v>
      </c>
      <c r="E4" s="62" t="str">
        <f>IF($H4=0,"",VLOOKUP($H4,정원!$D:$G,2,FALSE))</f>
        <v>PMO</v>
      </c>
      <c r="F4" s="62" t="str">
        <f>IF($H4=0,"",VLOOKUP($H4,정원!$D:$G,3,FALSE))</f>
        <v>PM</v>
      </c>
      <c r="G4" s="62" t="str">
        <f>IF($H4=0,"",VLOOKUP($H4,정원!$D:$G,4,FALSE))</f>
        <v>PM</v>
      </c>
      <c r="H4" s="61" t="s">
        <v>245</v>
      </c>
      <c r="I4" s="73">
        <v>45991</v>
      </c>
      <c r="J4" s="73">
        <v>46203</v>
      </c>
      <c r="K4" s="61">
        <v>0.2</v>
      </c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</row>
    <row r="5" spans="1:53">
      <c r="A5" s="61">
        <v>3</v>
      </c>
      <c r="B5" s="31" t="str">
        <f>IF($D5=0,"",VLOOKUP($D5,'Project IO'!$B:$E,3,FALSE))</f>
        <v>Complete</v>
      </c>
      <c r="C5" s="31" t="str">
        <f>IF($D5=0,"",VLOOKUP($D5,'Project IO'!$B:$E,4,FALSE))</f>
        <v>Launched</v>
      </c>
      <c r="D5" s="62" t="str">
        <f t="shared" si="1"/>
        <v>EUV Zenith Plus</v>
      </c>
      <c r="E5" s="62" t="str">
        <f>IF($H5=0,"",VLOOKUP($H5,정원!$D:$G,2,FALSE))</f>
        <v>NPI IS</v>
      </c>
      <c r="F5" s="62" t="str">
        <f>IF($H5=0,"",VLOOKUP($H5,정원!$D:$G,3,FALSE))</f>
        <v>* Manager</v>
      </c>
      <c r="G5" s="62" t="str">
        <f>IF($H5=0,"",VLOOKUP($H5,정원!$D:$G,4,FALSE))</f>
        <v>* Manager</v>
      </c>
      <c r="H5" s="61" t="s">
        <v>69</v>
      </c>
      <c r="I5" s="73">
        <v>45991</v>
      </c>
      <c r="J5" s="73">
        <v>46203</v>
      </c>
      <c r="K5" s="61">
        <v>0.2</v>
      </c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</row>
    <row r="6" spans="1:53">
      <c r="A6" s="61">
        <v>4</v>
      </c>
      <c r="B6" s="31" t="str">
        <f>IF($D6=0,"",VLOOKUP($D6,'Project IO'!$B:$E,3,FALSE))</f>
        <v>Complete</v>
      </c>
      <c r="C6" s="31" t="str">
        <f>IF($D6=0,"",VLOOKUP($D6,'Project IO'!$B:$E,4,FALSE))</f>
        <v>Launched</v>
      </c>
      <c r="D6" s="62" t="str">
        <f t="shared" si="1"/>
        <v>EUV Zenith Plus</v>
      </c>
      <c r="E6" s="62">
        <f>IF($H6=0,"",VLOOKUP($H6,정원!$D:$G,2,FALSE))</f>
        <v>0</v>
      </c>
      <c r="F6" s="62">
        <f>IF($H6=0,"",VLOOKUP($H6,정원!$D:$G,3,FALSE))</f>
        <v>0</v>
      </c>
      <c r="G6" s="62">
        <f>IF($H6=0,"",VLOOKUP($H6,정원!$D:$G,4,FALSE))</f>
        <v>0</v>
      </c>
      <c r="H6" s="61" t="s">
        <v>81</v>
      </c>
      <c r="I6" s="73">
        <v>45991</v>
      </c>
      <c r="J6" s="73">
        <v>46203</v>
      </c>
      <c r="K6" s="61" t="s">
        <v>65</v>
      </c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</row>
  </sheetData>
  <phoneticPr fontId="1" type="noConversion"/>
  <dataValidations count="2">
    <dataValidation type="list" allowBlank="1" showInputMessage="1" showErrorMessage="1" sqref="E7:E1048576" xr:uid="{8D446DFD-9321-48CA-B562-F144BA1A3B2A}">
      <formula1>"Engineering, PMO, System engineering, Control Engineering"</formula1>
    </dataValidation>
    <dataValidation type="list" allowBlank="1" showInputMessage="1" showErrorMessage="1" sqref="F7:F1048576" xr:uid="{89113361-4D05-4D56-BBB5-D26236DEACED}">
      <formula1>"* Manager/Lead, PMO, Tech Lead, System engineering, Service engineering, Mechanical engineering, Software engineering, SW test engineering, Electrical engineering"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BF3C23-D409-4921-A838-76F39D117577}">
          <x14:formula1>
            <xm:f>정원!$D:$D</xm:f>
          </x14:formula1>
          <xm:sqref>H3:H5 H7:H1048576</xm:sqref>
        </x14:dataValidation>
        <x14:dataValidation type="list" allowBlank="1" showInputMessage="1" showErrorMessage="1" xr:uid="{DD90AE41-8DB9-41E5-9502-2F280A258BAE}">
          <x14:formula1>
            <xm:f>'Project IO'!$B$4:$B$101</xm:f>
          </x14:formula1>
          <xm:sqref>A1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95E1-BD9D-4692-90A3-168071911D37}">
  <sheetPr>
    <tabColor theme="8" tint="0.59999389629810485"/>
  </sheetPr>
  <dimension ref="A1:BA1048549"/>
  <sheetViews>
    <sheetView zoomScale="85" zoomScaleNormal="85" workbookViewId="0">
      <pane ySplit="2" topLeftCell="A3" activePane="bottomLeft" state="frozen"/>
      <selection pane="bottomLeft" activeCell="B3" sqref="B3"/>
    </sheetView>
  </sheetViews>
  <sheetFormatPr defaultRowHeight="16.5"/>
  <cols>
    <col min="1" max="1" width="13.125" bestFit="1" customWidth="1"/>
    <col min="2" max="2" width="9.125" bestFit="1" customWidth="1"/>
    <col min="3" max="4" width="14.625" customWidth="1"/>
    <col min="5" max="5" width="17.125" customWidth="1"/>
    <col min="6" max="7" width="17.125" style="16" customWidth="1"/>
    <col min="8" max="8" width="19.125" bestFit="1" customWidth="1"/>
    <col min="9" max="9" width="10.125" bestFit="1" customWidth="1"/>
  </cols>
  <sheetData>
    <row r="1" spans="1:53" s="16" customFormat="1" ht="27" customHeight="1">
      <c r="A1" s="37" t="s">
        <v>219</v>
      </c>
      <c r="B1" s="36" t="str">
        <f>IF($A$1=0,"",VLOOKUP(A1,'Project IO'!$B$4:$C$101,2,FALSE))</f>
        <v>TBC</v>
      </c>
      <c r="C1" s="36"/>
      <c r="D1" s="38" t="s">
        <v>53</v>
      </c>
      <c r="E1" t="s">
        <v>54</v>
      </c>
      <c r="F1" s="1" t="s">
        <v>44</v>
      </c>
      <c r="G1" s="39">
        <v>0</v>
      </c>
      <c r="H1" s="16" t="s">
        <v>45</v>
      </c>
      <c r="I1" s="45">
        <v>45847</v>
      </c>
      <c r="J1" s="83" t="s">
        <v>55</v>
      </c>
      <c r="K1" s="16">
        <f t="shared" ref="K1:BA1" si="0">SUM(K3:K1048576)</f>
        <v>0</v>
      </c>
      <c r="L1" s="16">
        <f t="shared" si="0"/>
        <v>0</v>
      </c>
      <c r="M1" s="16">
        <f t="shared" si="0"/>
        <v>0</v>
      </c>
      <c r="N1" s="16">
        <f t="shared" si="0"/>
        <v>0</v>
      </c>
      <c r="O1" s="16">
        <f t="shared" si="0"/>
        <v>4.5</v>
      </c>
      <c r="P1" s="16">
        <f t="shared" si="0"/>
        <v>6.5000000000000009</v>
      </c>
      <c r="Q1" s="16">
        <f t="shared" si="0"/>
        <v>8.5</v>
      </c>
      <c r="R1" s="16">
        <f t="shared" si="0"/>
        <v>9</v>
      </c>
      <c r="S1" s="16">
        <f t="shared" si="0"/>
        <v>9</v>
      </c>
      <c r="T1" s="16">
        <f t="shared" si="0"/>
        <v>9</v>
      </c>
      <c r="U1" s="16">
        <f t="shared" si="0"/>
        <v>9</v>
      </c>
      <c r="V1" s="16">
        <f t="shared" si="0"/>
        <v>8</v>
      </c>
      <c r="W1" s="16">
        <f t="shared" si="0"/>
        <v>8</v>
      </c>
      <c r="X1" s="16">
        <f t="shared" si="0"/>
        <v>8</v>
      </c>
      <c r="Y1" s="16">
        <f t="shared" si="0"/>
        <v>8</v>
      </c>
      <c r="Z1" s="16">
        <f t="shared" si="0"/>
        <v>0</v>
      </c>
      <c r="AA1" s="16">
        <f t="shared" si="0"/>
        <v>0</v>
      </c>
      <c r="AB1" s="16">
        <f t="shared" si="0"/>
        <v>0</v>
      </c>
      <c r="AC1" s="16">
        <f t="shared" si="0"/>
        <v>0</v>
      </c>
      <c r="AD1" s="16">
        <f t="shared" si="0"/>
        <v>0</v>
      </c>
      <c r="AE1" s="16">
        <f t="shared" si="0"/>
        <v>0</v>
      </c>
      <c r="AF1" s="16">
        <f t="shared" si="0"/>
        <v>0</v>
      </c>
      <c r="AG1" s="16">
        <f t="shared" si="0"/>
        <v>0</v>
      </c>
      <c r="AH1" s="16">
        <f t="shared" si="0"/>
        <v>0</v>
      </c>
      <c r="AI1" s="16">
        <f t="shared" si="0"/>
        <v>0</v>
      </c>
      <c r="AJ1" s="16">
        <f t="shared" si="0"/>
        <v>0</v>
      </c>
      <c r="AK1" s="16">
        <f t="shared" si="0"/>
        <v>0</v>
      </c>
      <c r="AL1" s="16">
        <f t="shared" si="0"/>
        <v>0</v>
      </c>
      <c r="AM1" s="16">
        <f t="shared" si="0"/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6">
        <f t="shared" si="0"/>
        <v>0</v>
      </c>
      <c r="AW1" s="16">
        <f t="shared" si="0"/>
        <v>0</v>
      </c>
      <c r="AX1" s="16">
        <f t="shared" si="0"/>
        <v>0</v>
      </c>
      <c r="AY1" s="16">
        <f t="shared" si="0"/>
        <v>0</v>
      </c>
      <c r="AZ1" s="16">
        <f t="shared" si="0"/>
        <v>0</v>
      </c>
      <c r="BA1" s="16">
        <f t="shared" si="0"/>
        <v>0</v>
      </c>
    </row>
    <row r="2" spans="1:53" ht="17.25" thickBot="1">
      <c r="A2" s="34" t="s">
        <v>56</v>
      </c>
      <c r="B2" s="35" t="s">
        <v>57</v>
      </c>
      <c r="C2" s="86" t="s">
        <v>208</v>
      </c>
      <c r="D2" s="35" t="s">
        <v>59</v>
      </c>
      <c r="E2" s="35" t="s">
        <v>60</v>
      </c>
      <c r="F2" s="35" t="s">
        <v>61</v>
      </c>
      <c r="G2" s="35" t="s">
        <v>62</v>
      </c>
      <c r="H2" s="32" t="s">
        <v>63</v>
      </c>
      <c r="I2" s="33" t="s">
        <v>64</v>
      </c>
      <c r="J2" s="33" t="s">
        <v>65</v>
      </c>
      <c r="K2" s="12">
        <v>45833</v>
      </c>
      <c r="L2" s="12">
        <v>45863</v>
      </c>
      <c r="M2" s="12">
        <v>45894</v>
      </c>
      <c r="N2" s="12">
        <v>45925</v>
      </c>
      <c r="O2" s="12">
        <v>45955</v>
      </c>
      <c r="P2" s="12">
        <v>45986</v>
      </c>
      <c r="Q2" s="12">
        <v>46016</v>
      </c>
      <c r="R2" s="12">
        <v>45683</v>
      </c>
      <c r="S2" s="12">
        <v>45714</v>
      </c>
      <c r="T2" s="12">
        <v>45742</v>
      </c>
      <c r="U2" s="12">
        <v>45773</v>
      </c>
      <c r="V2" s="12">
        <v>45803</v>
      </c>
      <c r="W2" s="12">
        <v>45834</v>
      </c>
      <c r="X2" s="12">
        <v>45864</v>
      </c>
      <c r="Y2" s="12">
        <v>45895</v>
      </c>
      <c r="Z2" s="12">
        <v>45926</v>
      </c>
      <c r="AA2" s="12">
        <v>45956</v>
      </c>
      <c r="AB2" s="12">
        <v>45987</v>
      </c>
      <c r="AC2" s="12">
        <v>46017</v>
      </c>
      <c r="AD2" s="12">
        <v>45684</v>
      </c>
      <c r="AE2" s="12">
        <v>45715</v>
      </c>
      <c r="AF2" s="12">
        <v>45743</v>
      </c>
      <c r="AG2" s="12">
        <v>45774</v>
      </c>
      <c r="AH2" s="12">
        <v>45804</v>
      </c>
      <c r="AI2" s="12">
        <v>45835</v>
      </c>
      <c r="AJ2" s="12">
        <v>45865</v>
      </c>
      <c r="AK2" s="12">
        <v>45896</v>
      </c>
      <c r="AL2" s="12">
        <v>45927</v>
      </c>
      <c r="AM2" s="12">
        <v>45957</v>
      </c>
      <c r="AN2" s="12">
        <v>45988</v>
      </c>
      <c r="AO2" s="12">
        <v>46018</v>
      </c>
      <c r="AP2" s="12">
        <v>45685</v>
      </c>
      <c r="AQ2" s="12">
        <v>45716</v>
      </c>
      <c r="AR2" s="12">
        <v>45744</v>
      </c>
      <c r="AS2" s="12">
        <v>45775</v>
      </c>
      <c r="AT2" s="12">
        <v>45805</v>
      </c>
      <c r="AU2" s="12">
        <v>45836</v>
      </c>
      <c r="AV2" s="12">
        <v>45866</v>
      </c>
      <c r="AW2" s="12">
        <v>45897</v>
      </c>
      <c r="AX2" s="12">
        <v>45928</v>
      </c>
      <c r="AY2" s="12">
        <v>45958</v>
      </c>
      <c r="AZ2" s="12">
        <v>45989</v>
      </c>
      <c r="BA2" s="13">
        <v>46019</v>
      </c>
    </row>
    <row r="3" spans="1:53">
      <c r="A3" s="7">
        <v>1</v>
      </c>
      <c r="B3" s="31" t="str">
        <f>IF($D3=0,"",VLOOKUP($D3,'Project IO'!$B:$E,3,FALSE))</f>
        <v>Cancelled</v>
      </c>
      <c r="C3" s="31" t="str">
        <f>IF($D3=0,"",VLOOKUP($D3,'Project IO'!$B:$E,4,FALSE))</f>
        <v>Lead</v>
      </c>
      <c r="D3" s="31" t="str">
        <f t="shared" ref="D3:D17" si="1">$A$1</f>
        <v>Carl Zeiss</v>
      </c>
      <c r="E3" s="31" t="str">
        <f>IF($H3=0,"",VLOOKUP($H3,정원!$D:$G,2,FALSE))</f>
        <v>PMO</v>
      </c>
      <c r="F3" s="31" t="str">
        <f>IF($H3=0,"",VLOOKUP($H3,정원!$D:$G,3,FALSE))</f>
        <v>* Manager</v>
      </c>
      <c r="G3" s="31" t="str">
        <f>IF($H3=0,"",VLOOKUP($H3,정원!$D:$G,4,FALSE))</f>
        <v>* Manager</v>
      </c>
      <c r="H3" s="7" t="s">
        <v>67</v>
      </c>
      <c r="I3" s="76"/>
      <c r="J3" s="76"/>
      <c r="K3" s="77"/>
      <c r="L3" s="77"/>
      <c r="M3" s="77"/>
      <c r="N3" s="77"/>
      <c r="O3" s="77">
        <v>0.1</v>
      </c>
      <c r="P3" s="77">
        <v>0.1</v>
      </c>
      <c r="Q3" s="77">
        <v>0.1</v>
      </c>
      <c r="R3" s="77">
        <v>0.1</v>
      </c>
      <c r="S3" s="77">
        <v>0.1</v>
      </c>
      <c r="T3" s="77">
        <v>0.1</v>
      </c>
      <c r="U3" s="77">
        <v>0.1</v>
      </c>
      <c r="V3" s="77">
        <v>0.1</v>
      </c>
      <c r="W3" s="77">
        <v>0.1</v>
      </c>
      <c r="X3" s="77">
        <v>0.1</v>
      </c>
      <c r="Y3" s="77">
        <v>0.1</v>
      </c>
      <c r="Z3" s="77"/>
      <c r="AA3" s="77"/>
      <c r="AB3" s="77"/>
      <c r="AC3" s="77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7"/>
      <c r="AZ3" s="77"/>
    </row>
    <row r="4" spans="1:53">
      <c r="A4" s="7">
        <v>2</v>
      </c>
      <c r="B4" s="31" t="str">
        <f>IF($D4=0,"",VLOOKUP($D4,'Project IO'!$B:$E,3,FALSE))</f>
        <v>Cancelled</v>
      </c>
      <c r="C4" s="31" t="str">
        <f>IF($D4=0,"",VLOOKUP($D4,'Project IO'!$B:$E,4,FALSE))</f>
        <v>Lead</v>
      </c>
      <c r="D4" s="31" t="str">
        <f t="shared" si="1"/>
        <v>Carl Zeiss</v>
      </c>
      <c r="E4" s="31" t="str">
        <f>IF($H4=0,"",VLOOKUP($H4,정원!$D:$G,2,FALSE))</f>
        <v>PMO</v>
      </c>
      <c r="F4" s="31" t="str">
        <f>IF($H4=0,"",VLOOKUP($H4,정원!$D:$G,3,FALSE))</f>
        <v>PM</v>
      </c>
      <c r="G4" s="31" t="str">
        <f>IF($H4=0,"",VLOOKUP($H4,정원!$D:$G,4,FALSE))</f>
        <v>PM</v>
      </c>
      <c r="H4" s="19" t="s">
        <v>68</v>
      </c>
      <c r="I4" s="76"/>
      <c r="J4" s="76"/>
      <c r="K4" s="77"/>
      <c r="L4" s="77"/>
      <c r="M4" s="77"/>
      <c r="N4" s="77"/>
      <c r="O4" s="77">
        <v>0.7</v>
      </c>
      <c r="P4" s="77">
        <v>0.7</v>
      </c>
      <c r="Q4" s="77">
        <v>0.7</v>
      </c>
      <c r="R4" s="77">
        <v>0.7</v>
      </c>
      <c r="S4" s="77">
        <v>0.7</v>
      </c>
      <c r="T4" s="77">
        <v>0.7</v>
      </c>
      <c r="U4" s="77">
        <v>0.7</v>
      </c>
      <c r="V4" s="77">
        <v>0.7</v>
      </c>
      <c r="W4" s="77">
        <v>0.7</v>
      </c>
      <c r="X4" s="77">
        <v>0.7</v>
      </c>
      <c r="Y4" s="77">
        <v>0.7</v>
      </c>
      <c r="Z4" s="77"/>
      <c r="AA4" s="77"/>
      <c r="AB4" s="77"/>
      <c r="AC4" s="77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7"/>
      <c r="AZ4" s="77"/>
    </row>
    <row r="5" spans="1:53">
      <c r="A5" s="7">
        <v>3</v>
      </c>
      <c r="B5" s="31" t="str">
        <f>IF($D5=0,"",VLOOKUP($D5,'Project IO'!$B:$E,3,FALSE))</f>
        <v>Cancelled</v>
      </c>
      <c r="C5" s="31" t="str">
        <f>IF($D5=0,"",VLOOKUP($D5,'Project IO'!$B:$E,4,FALSE))</f>
        <v>Lead</v>
      </c>
      <c r="D5" s="31" t="str">
        <f t="shared" si="1"/>
        <v>Carl Zeiss</v>
      </c>
      <c r="E5" s="31" t="str">
        <f>IF($H5=0,"",VLOOKUP($H5,정원!$D:$G,2,FALSE))</f>
        <v>NPI IS</v>
      </c>
      <c r="F5" s="31" t="str">
        <f>IF($H5=0,"",VLOOKUP($H5,정원!$D:$G,3,FALSE))</f>
        <v>* Manager</v>
      </c>
      <c r="G5" s="31" t="str">
        <f>IF($H5=0,"",VLOOKUP($H5,정원!$D:$G,4,FALSE))</f>
        <v>* Manager</v>
      </c>
      <c r="H5" s="7" t="s">
        <v>69</v>
      </c>
      <c r="I5" s="76"/>
      <c r="J5" s="76"/>
      <c r="K5" s="77"/>
      <c r="L5" s="77"/>
      <c r="M5" s="77"/>
      <c r="N5" s="77"/>
      <c r="O5" s="77">
        <v>0.1</v>
      </c>
      <c r="P5" s="77">
        <v>0.1</v>
      </c>
      <c r="Q5" s="77">
        <v>0.1</v>
      </c>
      <c r="R5" s="77">
        <v>0.1</v>
      </c>
      <c r="S5" s="77">
        <v>0.1</v>
      </c>
      <c r="T5" s="77">
        <v>0.1</v>
      </c>
      <c r="U5" s="77">
        <v>0.1</v>
      </c>
      <c r="V5" s="77">
        <v>0.1</v>
      </c>
      <c r="W5" s="77">
        <v>0.1</v>
      </c>
      <c r="X5" s="77">
        <v>0.1</v>
      </c>
      <c r="Y5" s="77">
        <v>0.1</v>
      </c>
      <c r="Z5" s="77"/>
      <c r="AA5" s="77"/>
      <c r="AB5" s="77"/>
      <c r="AC5" s="77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7"/>
      <c r="AZ5" s="77"/>
    </row>
    <row r="6" spans="1:53">
      <c r="A6" s="7">
        <v>4</v>
      </c>
      <c r="B6" s="31" t="str">
        <f>IF($D6=0,"",VLOOKUP($D6,'Project IO'!$B:$E,3,FALSE))</f>
        <v>Cancelled</v>
      </c>
      <c r="C6" s="31" t="str">
        <f>IF($D6=0,"",VLOOKUP($D6,'Project IO'!$B:$E,4,FALSE))</f>
        <v>Lead</v>
      </c>
      <c r="D6" s="31" t="str">
        <f t="shared" si="1"/>
        <v>Carl Zeiss</v>
      </c>
      <c r="E6" s="31" t="str">
        <f>IF($H6=0,"",VLOOKUP($H6,정원!$D:$G,2,FALSE))</f>
        <v>NPI IS</v>
      </c>
      <c r="F6" s="31" t="str">
        <f>IF($H6=0,"",VLOOKUP($H6,정원!$D:$G,3,FALSE))</f>
        <v>System 1</v>
      </c>
      <c r="G6" s="31" t="str">
        <f>IF($H6=0,"",VLOOKUP($H6,정원!$D:$G,4,FALSE))</f>
        <v>Tech Lead</v>
      </c>
      <c r="H6" s="19" t="s">
        <v>187</v>
      </c>
      <c r="I6" s="76"/>
      <c r="J6" s="76"/>
      <c r="K6" s="77"/>
      <c r="L6" s="77"/>
      <c r="M6" s="77"/>
      <c r="N6" s="77"/>
      <c r="O6" s="77">
        <v>0.5</v>
      </c>
      <c r="P6" s="77">
        <v>0.5</v>
      </c>
      <c r="Q6" s="77">
        <v>1</v>
      </c>
      <c r="R6" s="77">
        <v>1</v>
      </c>
      <c r="S6" s="77">
        <v>1</v>
      </c>
      <c r="T6" s="77">
        <v>1</v>
      </c>
      <c r="U6" s="77">
        <v>1</v>
      </c>
      <c r="V6" s="77">
        <v>1</v>
      </c>
      <c r="W6" s="77">
        <v>1</v>
      </c>
      <c r="X6" s="77">
        <v>1</v>
      </c>
      <c r="Y6" s="77">
        <v>1</v>
      </c>
      <c r="Z6" s="77"/>
      <c r="AA6" s="77"/>
      <c r="AB6" s="77"/>
      <c r="AC6" s="77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7"/>
      <c r="AZ6" s="77"/>
    </row>
    <row r="7" spans="1:53">
      <c r="A7" s="7">
        <v>5</v>
      </c>
      <c r="B7" s="31" t="str">
        <f>IF($D7=0,"",VLOOKUP($D7,'Project IO'!$B:$E,3,FALSE))</f>
        <v>Cancelled</v>
      </c>
      <c r="C7" s="31" t="str">
        <f>IF($D7=0,"",VLOOKUP($D7,'Project IO'!$B:$E,4,FALSE))</f>
        <v>Lead</v>
      </c>
      <c r="D7" s="31" t="str">
        <f t="shared" si="1"/>
        <v>Carl Zeiss</v>
      </c>
      <c r="E7" s="31" t="str">
        <f>IF($H7=0,"",VLOOKUP($H7,정원!$D:$G,2,FALSE))</f>
        <v>NPI IS</v>
      </c>
      <c r="F7" s="31" t="str">
        <f>IF($H7=0,"",VLOOKUP($H7,정원!$D:$G,3,FALSE))</f>
        <v>System □</v>
      </c>
      <c r="G7" s="31" t="str">
        <f>IF($H7=0,"",VLOOKUP($H7,정원!$D:$G,4,FALSE))</f>
        <v>System engineer</v>
      </c>
      <c r="H7" s="19" t="s">
        <v>71</v>
      </c>
      <c r="I7" s="76"/>
      <c r="J7" s="76"/>
      <c r="K7" s="77"/>
      <c r="L7" s="77"/>
      <c r="M7" s="77"/>
      <c r="N7" s="77"/>
      <c r="O7" s="77">
        <v>0.5</v>
      </c>
      <c r="P7" s="77">
        <v>0.5</v>
      </c>
      <c r="Q7" s="77">
        <v>1</v>
      </c>
      <c r="R7" s="77">
        <v>1</v>
      </c>
      <c r="S7" s="77">
        <v>1</v>
      </c>
      <c r="T7" s="77">
        <v>1</v>
      </c>
      <c r="U7" s="77">
        <v>1</v>
      </c>
      <c r="V7" s="77">
        <v>1</v>
      </c>
      <c r="W7" s="77">
        <v>1</v>
      </c>
      <c r="X7" s="77">
        <v>1</v>
      </c>
      <c r="Y7" s="77">
        <v>1</v>
      </c>
      <c r="Z7" s="77"/>
      <c r="AA7" s="77"/>
      <c r="AB7" s="77"/>
      <c r="AC7" s="77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7"/>
      <c r="AZ7" s="77"/>
    </row>
    <row r="8" spans="1:53">
      <c r="A8" s="7">
        <v>6</v>
      </c>
      <c r="B8" s="31" t="str">
        <f>IF($D8=0,"",VLOOKUP($D8,'Project IO'!$B:$E,3,FALSE))</f>
        <v>Cancelled</v>
      </c>
      <c r="C8" s="31" t="str">
        <f>IF($D8=0,"",VLOOKUP($D8,'Project IO'!$B:$E,4,FALSE))</f>
        <v>Lead</v>
      </c>
      <c r="D8" s="31" t="str">
        <f>$A$1</f>
        <v>Carl Zeiss</v>
      </c>
      <c r="E8" s="31" t="str">
        <f>IF($H8=0,"",VLOOKUP($H8,정원!$D:$G,2,FALSE))</f>
        <v>NPI IS</v>
      </c>
      <c r="F8" s="31" t="str">
        <f>IF($H8=0,"",VLOOKUP($H8,정원!$D:$G,3,FALSE))</f>
        <v>System 1</v>
      </c>
      <c r="G8" s="31" t="str">
        <f>IF($H8=0,"",VLOOKUP($H8,정원!$D:$G,4,FALSE))</f>
        <v>Service engineer</v>
      </c>
      <c r="H8" s="19" t="s">
        <v>182</v>
      </c>
      <c r="I8" s="76"/>
      <c r="J8" s="76"/>
      <c r="K8" s="77"/>
      <c r="L8" s="77"/>
      <c r="M8" s="77"/>
      <c r="N8" s="77"/>
      <c r="O8" s="77"/>
      <c r="P8" s="78"/>
      <c r="Q8" s="78">
        <v>1</v>
      </c>
      <c r="R8" s="78">
        <v>1</v>
      </c>
      <c r="S8" s="78">
        <v>1</v>
      </c>
      <c r="T8" s="78">
        <v>1</v>
      </c>
      <c r="U8" s="78">
        <v>1</v>
      </c>
      <c r="V8" s="78">
        <v>1</v>
      </c>
      <c r="W8" s="78">
        <v>1</v>
      </c>
      <c r="X8" s="78">
        <v>1</v>
      </c>
      <c r="Y8" s="78">
        <v>1</v>
      </c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7"/>
      <c r="AZ8" s="77"/>
    </row>
    <row r="9" spans="1:53">
      <c r="A9" s="7">
        <v>7</v>
      </c>
      <c r="B9" s="31" t="str">
        <f>IF($D9=0,"",VLOOKUP($D9,'Project IO'!$B:$E,3,FALSE))</f>
        <v>Cancelled</v>
      </c>
      <c r="C9" s="31" t="str">
        <f>IF($D9=0,"",VLOOKUP($D9,'Project IO'!$B:$E,4,FALSE))</f>
        <v>Lead</v>
      </c>
      <c r="D9" s="31" t="str">
        <f t="shared" si="1"/>
        <v>Carl Zeiss</v>
      </c>
      <c r="E9" s="31" t="str">
        <f>IF($H9=0,"",VLOOKUP($H9,정원!$D:$G,2,FALSE))</f>
        <v>NPI IS</v>
      </c>
      <c r="F9" s="31" t="str">
        <f>IF($H9=0,"",VLOOKUP($H9,정원!$D:$G,3,FALSE))</f>
        <v>Mechanical</v>
      </c>
      <c r="G9" s="31" t="str">
        <f>IF($H9=0,"",VLOOKUP($H9,정원!$D:$G,4,FALSE))</f>
        <v>Leader</v>
      </c>
      <c r="H9" s="7" t="s">
        <v>73</v>
      </c>
      <c r="I9" s="76"/>
      <c r="J9" s="76"/>
      <c r="K9" s="77"/>
      <c r="L9" s="77"/>
      <c r="M9" s="77"/>
      <c r="N9" s="77"/>
      <c r="O9" s="77">
        <v>0.1</v>
      </c>
      <c r="P9" s="77">
        <v>0.1</v>
      </c>
      <c r="Q9" s="77">
        <v>0.1</v>
      </c>
      <c r="R9" s="77">
        <v>0.1</v>
      </c>
      <c r="S9" s="77">
        <v>0.1</v>
      </c>
      <c r="T9" s="77">
        <v>0.1</v>
      </c>
      <c r="U9" s="77">
        <v>0.1</v>
      </c>
      <c r="V9" s="77">
        <v>0.1</v>
      </c>
      <c r="W9" s="77">
        <v>0.1</v>
      </c>
      <c r="X9" s="77">
        <v>0.1</v>
      </c>
      <c r="Y9" s="77">
        <v>0.1</v>
      </c>
      <c r="Z9" s="77"/>
      <c r="AA9" s="77"/>
      <c r="AB9" s="77"/>
      <c r="AC9" s="77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7"/>
      <c r="AZ9" s="77"/>
    </row>
    <row r="10" spans="1:53">
      <c r="A10" s="7">
        <v>8</v>
      </c>
      <c r="B10" s="31" t="str">
        <f>IF($D10=0,"",VLOOKUP($D10,'Project IO'!$B:$E,3,FALSE))</f>
        <v>Cancelled</v>
      </c>
      <c r="C10" s="31" t="str">
        <f>IF($D10=0,"",VLOOKUP($D10,'Project IO'!$B:$E,4,FALSE))</f>
        <v>Lead</v>
      </c>
      <c r="D10" s="31" t="str">
        <f t="shared" si="1"/>
        <v>Carl Zeiss</v>
      </c>
      <c r="E10" s="31" t="str">
        <f>IF($H10=0,"",VLOOKUP($H10,정원!$D:$G,2,FALSE))</f>
        <v>NPI IS</v>
      </c>
      <c r="F10" s="31" t="str">
        <f>IF($H10=0,"",VLOOKUP($H10,정원!$D:$G,3,FALSE))</f>
        <v>Mechanical</v>
      </c>
      <c r="G10" s="31" t="str">
        <f>IF($H10=0,"",VLOOKUP($H10,정원!$D:$G,4,FALSE))</f>
        <v>Mechanical engineer</v>
      </c>
      <c r="H10" s="19" t="s">
        <v>265</v>
      </c>
      <c r="I10" s="76"/>
      <c r="J10" s="76"/>
      <c r="K10" s="77"/>
      <c r="L10" s="77"/>
      <c r="M10" s="77"/>
      <c r="N10" s="77"/>
      <c r="O10" s="77">
        <v>0.5</v>
      </c>
      <c r="P10" s="77">
        <v>1</v>
      </c>
      <c r="Q10" s="77">
        <v>1</v>
      </c>
      <c r="R10" s="77">
        <v>1</v>
      </c>
      <c r="S10" s="77">
        <v>1</v>
      </c>
      <c r="T10" s="77">
        <v>1</v>
      </c>
      <c r="U10" s="77">
        <v>1</v>
      </c>
      <c r="V10" s="77">
        <v>1</v>
      </c>
      <c r="W10" s="77">
        <v>1</v>
      </c>
      <c r="X10" s="77">
        <v>1</v>
      </c>
      <c r="Y10" s="77">
        <v>1</v>
      </c>
      <c r="Z10" s="77"/>
      <c r="AA10" s="77"/>
      <c r="AB10" s="77"/>
      <c r="AC10" s="77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7"/>
      <c r="AZ10" s="77"/>
    </row>
    <row r="11" spans="1:53">
      <c r="A11" s="7">
        <v>9</v>
      </c>
      <c r="B11" s="31" t="str">
        <f>IF($D11=0,"",VLOOKUP($D11,'Project IO'!$B:$E,3,FALSE))</f>
        <v>Cancelled</v>
      </c>
      <c r="C11" s="31" t="str">
        <f>IF($D11=0,"",VLOOKUP($D11,'Project IO'!$B:$E,4,FALSE))</f>
        <v>Lead</v>
      </c>
      <c r="D11" s="31" t="str">
        <f t="shared" si="1"/>
        <v>Carl Zeiss</v>
      </c>
      <c r="E11" s="31" t="str">
        <f>IF($H11=0,"",VLOOKUP($H11,정원!$D:$G,2,FALSE))</f>
        <v>Control Eng.</v>
      </c>
      <c r="F11" s="31" t="str">
        <f>IF($H11=0,"",VLOOKUP($H11,정원!$D:$G,3,FALSE))</f>
        <v>* Manager</v>
      </c>
      <c r="G11" s="31" t="str">
        <f>IF($H11=0,"",VLOOKUP($H11,정원!$D:$G,4,FALSE))</f>
        <v>* Manager</v>
      </c>
      <c r="H11" s="7" t="s">
        <v>75</v>
      </c>
      <c r="I11" s="76"/>
      <c r="J11" s="76"/>
      <c r="K11" s="77"/>
      <c r="L11" s="77"/>
      <c r="M11" s="77"/>
      <c r="N11" s="77"/>
      <c r="O11" s="77">
        <v>0.1</v>
      </c>
      <c r="P11" s="78">
        <v>0.1</v>
      </c>
      <c r="Q11" s="78">
        <v>0.1</v>
      </c>
      <c r="R11" s="78">
        <v>0.1</v>
      </c>
      <c r="S11" s="78">
        <v>0.1</v>
      </c>
      <c r="T11" s="78">
        <v>0.1</v>
      </c>
      <c r="U11" s="78">
        <v>0.1</v>
      </c>
      <c r="V11" s="78">
        <v>0.1</v>
      </c>
      <c r="W11" s="78">
        <v>0.1</v>
      </c>
      <c r="X11" s="78">
        <v>0.1</v>
      </c>
      <c r="Y11" s="78">
        <v>0.1</v>
      </c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7"/>
      <c r="AZ11" s="77"/>
    </row>
    <row r="12" spans="1:53">
      <c r="A12" s="7">
        <v>10</v>
      </c>
      <c r="B12" s="31" t="str">
        <f>IF($D12=0,"",VLOOKUP($D12,'Project IO'!$B:$E,3,FALSE))</f>
        <v>Cancelled</v>
      </c>
      <c r="C12" s="31" t="str">
        <f>IF($D12=0,"",VLOOKUP($D12,'Project IO'!$B:$E,4,FALSE))</f>
        <v>Lead</v>
      </c>
      <c r="D12" s="31" t="str">
        <f t="shared" si="1"/>
        <v>Carl Zeiss</v>
      </c>
      <c r="E12" s="31" t="str">
        <f>IF($H12=0,"",VLOOKUP($H12,정원!$D:$G,2,FALSE))</f>
        <v>Control Eng.</v>
      </c>
      <c r="F12" s="31" t="str">
        <f>IF($H12=0,"",VLOOKUP($H12,정원!$D:$G,3,FALSE))</f>
        <v>Software</v>
      </c>
      <c r="G12" s="31" t="str">
        <f>IF($H12=0,"",VLOOKUP($H12,정원!$D:$G,4,FALSE))</f>
        <v>Leader</v>
      </c>
      <c r="H12" s="7" t="s">
        <v>76</v>
      </c>
      <c r="I12" s="76"/>
      <c r="J12" s="76"/>
      <c r="K12" s="77"/>
      <c r="L12" s="77"/>
      <c r="M12" s="77"/>
      <c r="N12" s="77"/>
      <c r="O12" s="77">
        <v>0.2</v>
      </c>
      <c r="P12" s="78">
        <v>0.2</v>
      </c>
      <c r="Q12" s="78">
        <v>0.2</v>
      </c>
      <c r="R12" s="78">
        <v>0.2</v>
      </c>
      <c r="S12" s="78">
        <v>0.2</v>
      </c>
      <c r="T12" s="78">
        <v>0.2</v>
      </c>
      <c r="U12" s="78">
        <v>0.2</v>
      </c>
      <c r="V12" s="78">
        <v>0.2</v>
      </c>
      <c r="W12" s="78">
        <v>0.2</v>
      </c>
      <c r="X12" s="78">
        <v>0.2</v>
      </c>
      <c r="Y12" s="78">
        <v>0.2</v>
      </c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7"/>
      <c r="AZ12" s="77"/>
    </row>
    <row r="13" spans="1:53">
      <c r="A13" s="7">
        <v>11</v>
      </c>
      <c r="B13" s="31" t="str">
        <f>IF($D13=0,"",VLOOKUP($D13,'Project IO'!$B:$E,3,FALSE))</f>
        <v>Cancelled</v>
      </c>
      <c r="C13" s="31" t="str">
        <f>IF($D13=0,"",VLOOKUP($D13,'Project IO'!$B:$E,4,FALSE))</f>
        <v>Lead</v>
      </c>
      <c r="D13" s="31" t="str">
        <f t="shared" si="1"/>
        <v>Carl Zeiss</v>
      </c>
      <c r="E13" s="31" t="str">
        <f>IF($H13=0,"",VLOOKUP($H13,정원!$D:$G,2,FALSE))</f>
        <v>Control Eng.</v>
      </c>
      <c r="F13" s="31" t="str">
        <f>IF($H13=0,"",VLOOKUP($H13,정원!$D:$G,3,FALSE))</f>
        <v>Software</v>
      </c>
      <c r="G13" s="31" t="str">
        <f>IF($H13=0,"",VLOOKUP($H13,정원!$D:$G,4,FALSE))</f>
        <v>Software engineer</v>
      </c>
      <c r="H13" s="19" t="s">
        <v>77</v>
      </c>
      <c r="I13" s="76"/>
      <c r="J13" s="76"/>
      <c r="K13" s="77"/>
      <c r="L13" s="77"/>
      <c r="M13" s="77"/>
      <c r="N13" s="77"/>
      <c r="O13" s="77">
        <v>0.5</v>
      </c>
      <c r="P13" s="78">
        <v>1.5</v>
      </c>
      <c r="Q13" s="78">
        <v>1.5</v>
      </c>
      <c r="R13" s="78">
        <v>1.5</v>
      </c>
      <c r="S13" s="78">
        <v>1.5</v>
      </c>
      <c r="T13" s="78">
        <v>1.5</v>
      </c>
      <c r="U13" s="78">
        <v>1.5</v>
      </c>
      <c r="V13" s="78">
        <v>1</v>
      </c>
      <c r="W13" s="78">
        <v>1</v>
      </c>
      <c r="X13" s="78">
        <v>1</v>
      </c>
      <c r="Y13" s="78">
        <v>1</v>
      </c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7"/>
      <c r="AZ13" s="77"/>
    </row>
    <row r="14" spans="1:53">
      <c r="A14" s="7">
        <v>12</v>
      </c>
      <c r="B14" s="31" t="str">
        <f>IF($D14=0,"",VLOOKUP($D14,'Project IO'!$B:$E,3,FALSE))</f>
        <v>Cancelled</v>
      </c>
      <c r="C14" s="31" t="str">
        <f>IF($D14=0,"",VLOOKUP($D14,'Project IO'!$B:$E,4,FALSE))</f>
        <v>Lead</v>
      </c>
      <c r="D14" s="31" t="str">
        <f t="shared" si="1"/>
        <v>Carl Zeiss</v>
      </c>
      <c r="E14" s="31" t="str">
        <f>IF($H14=0,"",VLOOKUP($H14,정원!$D:$G,2,FALSE))</f>
        <v>Control Eng.</v>
      </c>
      <c r="F14" s="31" t="str">
        <f>IF($H14=0,"",VLOOKUP($H14,정원!$D:$G,3,FALSE))</f>
        <v>Software</v>
      </c>
      <c r="G14" s="31" t="str">
        <f>IF($H14=0,"",VLOOKUP($H14,정원!$D:$G,4,FALSE))</f>
        <v>SW test engineer</v>
      </c>
      <c r="H14" s="19" t="s">
        <v>78</v>
      </c>
      <c r="I14" s="76"/>
      <c r="J14" s="76"/>
      <c r="K14" s="77"/>
      <c r="L14" s="77"/>
      <c r="M14" s="77"/>
      <c r="N14" s="77"/>
      <c r="O14" s="77"/>
      <c r="P14" s="78">
        <v>0.5</v>
      </c>
      <c r="Q14" s="78">
        <v>0.5</v>
      </c>
      <c r="R14" s="78">
        <v>1</v>
      </c>
      <c r="S14" s="78">
        <v>1</v>
      </c>
      <c r="T14" s="78">
        <v>1</v>
      </c>
      <c r="U14" s="78">
        <v>1</v>
      </c>
      <c r="V14" s="78">
        <v>0.5</v>
      </c>
      <c r="W14" s="78">
        <v>0.5</v>
      </c>
      <c r="X14" s="78">
        <v>0.5</v>
      </c>
      <c r="Y14" s="78">
        <v>0.5</v>
      </c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7"/>
      <c r="AZ14" s="77"/>
    </row>
    <row r="15" spans="1:53">
      <c r="A15" s="7">
        <v>13</v>
      </c>
      <c r="B15" s="31" t="str">
        <f>IF($D15=0,"",VLOOKUP($D15,'Project IO'!$B:$E,3,FALSE))</f>
        <v>Cancelled</v>
      </c>
      <c r="C15" s="31" t="str">
        <f>IF($D15=0,"",VLOOKUP($D15,'Project IO'!$B:$E,4,FALSE))</f>
        <v>Lead</v>
      </c>
      <c r="D15" s="31" t="str">
        <f t="shared" si="1"/>
        <v>Carl Zeiss</v>
      </c>
      <c r="E15" s="31" t="str">
        <f>IF($H15=0,"",VLOOKUP($H15,정원!$D:$G,2,FALSE))</f>
        <v>Control Eng.</v>
      </c>
      <c r="F15" s="31" t="str">
        <f>IF($H15=0,"",VLOOKUP($H15,정원!$D:$G,3,FALSE))</f>
        <v>Electrical</v>
      </c>
      <c r="G15" s="31" t="str">
        <f>IF($H15=0,"",VLOOKUP($H15,정원!$D:$G,4,FALSE))</f>
        <v>Leader</v>
      </c>
      <c r="H15" s="7" t="s">
        <v>79</v>
      </c>
      <c r="I15" s="76"/>
      <c r="J15" s="76"/>
      <c r="K15" s="77"/>
      <c r="L15" s="77"/>
      <c r="M15" s="77"/>
      <c r="N15" s="77"/>
      <c r="O15" s="77">
        <v>0.2</v>
      </c>
      <c r="P15" s="78">
        <v>0.2</v>
      </c>
      <c r="Q15" s="78">
        <v>0.2</v>
      </c>
      <c r="R15" s="78">
        <v>0.2</v>
      </c>
      <c r="S15" s="78">
        <v>0.2</v>
      </c>
      <c r="T15" s="78">
        <v>0.2</v>
      </c>
      <c r="U15" s="78">
        <v>0.2</v>
      </c>
      <c r="V15" s="78">
        <v>0.2</v>
      </c>
      <c r="W15" s="78">
        <v>0.2</v>
      </c>
      <c r="X15" s="78">
        <v>0.2</v>
      </c>
      <c r="Y15" s="78">
        <v>0.2</v>
      </c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7"/>
      <c r="AZ15" s="77"/>
    </row>
    <row r="16" spans="1:53">
      <c r="A16" s="7">
        <v>14</v>
      </c>
      <c r="B16" s="31" t="str">
        <f>IF($D16=0,"",VLOOKUP($D16,'Project IO'!$B:$E,3,FALSE))</f>
        <v>Cancelled</v>
      </c>
      <c r="C16" s="31" t="str">
        <f>IF($D16=0,"",VLOOKUP($D16,'Project IO'!$B:$E,4,FALSE))</f>
        <v>Lead</v>
      </c>
      <c r="D16" s="31" t="str">
        <f t="shared" si="1"/>
        <v>Carl Zeiss</v>
      </c>
      <c r="E16" s="31" t="str">
        <f>IF($H16=0,"",VLOOKUP($H16,정원!$D:$G,2,FALSE))</f>
        <v>Control Eng.</v>
      </c>
      <c r="F16" s="31" t="str">
        <f>IF($H16=0,"",VLOOKUP($H16,정원!$D:$G,3,FALSE))</f>
        <v>Electrical</v>
      </c>
      <c r="G16" s="31" t="str">
        <f>IF($H16=0,"",VLOOKUP($H16,정원!$D:$G,4,FALSE))</f>
        <v>Electrical engineer</v>
      </c>
      <c r="H16" s="19" t="s">
        <v>80</v>
      </c>
      <c r="I16" s="76"/>
      <c r="J16" s="76"/>
      <c r="K16" s="77"/>
      <c r="L16" s="77"/>
      <c r="M16" s="77"/>
      <c r="N16" s="77"/>
      <c r="O16" s="77">
        <v>1</v>
      </c>
      <c r="P16" s="77">
        <v>1</v>
      </c>
      <c r="Q16" s="77">
        <v>1</v>
      </c>
      <c r="R16" s="77">
        <v>1</v>
      </c>
      <c r="S16" s="77">
        <v>1</v>
      </c>
      <c r="T16" s="77">
        <v>1</v>
      </c>
      <c r="U16" s="77">
        <v>1</v>
      </c>
      <c r="V16" s="77">
        <v>1</v>
      </c>
      <c r="W16" s="77">
        <v>1</v>
      </c>
      <c r="X16" s="77">
        <v>1</v>
      </c>
      <c r="Y16" s="77">
        <v>1</v>
      </c>
      <c r="Z16" s="77"/>
      <c r="AA16" s="77"/>
      <c r="AB16" s="77"/>
      <c r="AC16" s="77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7"/>
      <c r="AZ16" s="77"/>
    </row>
    <row r="17" spans="1:52">
      <c r="A17" s="7">
        <v>15</v>
      </c>
      <c r="B17" s="31" t="str">
        <f>IF($D17=0,"",VLOOKUP($D17,'Project IO'!$B:$E,3,FALSE))</f>
        <v>Cancelled</v>
      </c>
      <c r="C17" s="31" t="str">
        <f>IF($D17=0,"",VLOOKUP($D17,'Project IO'!$B:$E,4,FALSE))</f>
        <v>Lead</v>
      </c>
      <c r="D17" s="31" t="str">
        <f t="shared" si="1"/>
        <v>Carl Zeiss</v>
      </c>
      <c r="E17" s="31">
        <f>IF($H17=0,"",VLOOKUP($H17,정원!$D:$G,2,FALSE))</f>
        <v>0</v>
      </c>
      <c r="F17" s="31">
        <f>IF($H17=0,"",VLOOKUP($H17,정원!$D:$G,3,FALSE))</f>
        <v>0</v>
      </c>
      <c r="G17" s="31">
        <f>IF($H17=0,"",VLOOKUP($H17,정원!$D:$G,4,FALSE))</f>
        <v>0</v>
      </c>
      <c r="H17" s="19" t="s">
        <v>81</v>
      </c>
      <c r="I17" s="76"/>
      <c r="J17" s="76"/>
      <c r="K17" s="77"/>
      <c r="L17" s="77"/>
      <c r="M17" s="77"/>
      <c r="O17" s="77" t="s">
        <v>301</v>
      </c>
      <c r="P17" s="77"/>
      <c r="Q17" s="77"/>
      <c r="R17" s="77"/>
      <c r="S17" s="77"/>
      <c r="T17" s="77"/>
      <c r="U17" s="77"/>
      <c r="V17" s="77"/>
      <c r="W17" s="77"/>
      <c r="Y17" s="77" t="s">
        <v>64</v>
      </c>
      <c r="Z17" s="77"/>
      <c r="AA17" s="77"/>
      <c r="AB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</row>
    <row r="18" spans="1:52">
      <c r="F18"/>
      <c r="G18"/>
    </row>
    <row r="1048533" spans="2:7">
      <c r="B1048533" s="7"/>
      <c r="C1048533" s="7"/>
      <c r="D1048533" s="7"/>
      <c r="E1048533" s="7"/>
      <c r="F1048533" s="7"/>
      <c r="G1048533" s="7"/>
    </row>
    <row r="1048534" spans="2:7">
      <c r="B1048534" s="7"/>
      <c r="C1048534" s="7"/>
      <c r="D1048534" s="7"/>
      <c r="E1048534" s="7"/>
      <c r="F1048534" s="7"/>
      <c r="G1048534" s="7"/>
    </row>
    <row r="1048535" spans="2:7">
      <c r="B1048535" s="7"/>
      <c r="C1048535" s="7"/>
      <c r="D1048535" s="7"/>
      <c r="E1048535" s="7"/>
      <c r="F1048535" s="7"/>
      <c r="G1048535" s="19"/>
    </row>
    <row r="1048536" spans="2:7">
      <c r="B1048536" s="7"/>
      <c r="C1048536" s="7"/>
      <c r="D1048536" s="7"/>
      <c r="E1048536" s="7"/>
      <c r="F1048536" s="7"/>
      <c r="G1048536" s="7"/>
    </row>
    <row r="1048537" spans="2:7">
      <c r="B1048537" s="7"/>
      <c r="C1048537" s="7"/>
      <c r="D1048537" s="7"/>
      <c r="E1048537" s="7"/>
      <c r="F1048537" s="7"/>
      <c r="G1048537" s="19"/>
    </row>
    <row r="1048538" spans="2:7">
      <c r="B1048538" s="7"/>
      <c r="C1048538" s="7"/>
      <c r="D1048538" s="7"/>
      <c r="E1048538" s="7"/>
      <c r="F1048538" s="7"/>
      <c r="G1048538" s="19"/>
    </row>
    <row r="1048539" spans="2:7">
      <c r="B1048539" s="7"/>
      <c r="C1048539" s="7"/>
      <c r="D1048539" s="7"/>
      <c r="E1048539" s="7"/>
      <c r="F1048539" s="7"/>
      <c r="G1048539" s="19"/>
    </row>
    <row r="1048540" spans="2:7">
      <c r="B1048540" s="7"/>
      <c r="C1048540" s="7"/>
      <c r="D1048540" s="7"/>
      <c r="E1048540" s="7"/>
      <c r="F1048540" s="7"/>
      <c r="G1048540" s="19"/>
    </row>
    <row r="1048541" spans="2:7">
      <c r="B1048541" s="7"/>
      <c r="C1048541" s="7"/>
      <c r="D1048541" s="7"/>
      <c r="E1048541" s="7"/>
      <c r="F1048541" s="7"/>
      <c r="G1048541" s="7"/>
    </row>
    <row r="1048542" spans="2:7">
      <c r="B1048542" s="7"/>
      <c r="C1048542" s="7"/>
      <c r="D1048542" s="7"/>
      <c r="E1048542" s="7"/>
      <c r="F1048542" s="7"/>
      <c r="G1048542" s="19"/>
    </row>
    <row r="1048543" spans="2:7">
      <c r="B1048543" s="7"/>
      <c r="C1048543" s="7"/>
      <c r="D1048543" s="7"/>
      <c r="E1048543" s="7"/>
      <c r="F1048543" s="7"/>
      <c r="G1048543" s="7"/>
    </row>
    <row r="1048544" spans="2:7">
      <c r="B1048544" s="7"/>
      <c r="C1048544" s="7"/>
      <c r="D1048544" s="7"/>
      <c r="E1048544" s="7"/>
      <c r="F1048544" s="7"/>
      <c r="G1048544" s="7"/>
    </row>
    <row r="1048545" spans="2:7">
      <c r="B1048545" s="7"/>
      <c r="C1048545" s="7"/>
      <c r="D1048545" s="7"/>
      <c r="E1048545" s="7"/>
      <c r="F1048545" s="7"/>
      <c r="G1048545" s="19"/>
    </row>
    <row r="1048546" spans="2:7">
      <c r="B1048546" s="7"/>
      <c r="C1048546" s="7"/>
      <c r="D1048546" s="7"/>
      <c r="E1048546" s="7"/>
      <c r="F1048546" s="7"/>
      <c r="G1048546" s="19"/>
    </row>
    <row r="1048547" spans="2:7">
      <c r="B1048547" s="7"/>
      <c r="C1048547" s="7"/>
      <c r="D1048547" s="7"/>
      <c r="E1048547" s="7"/>
      <c r="F1048547" s="7"/>
      <c r="G1048547" s="7"/>
    </row>
    <row r="1048548" spans="2:7">
      <c r="B1048548" s="7"/>
      <c r="C1048548" s="7"/>
      <c r="D1048548" s="7"/>
      <c r="E1048548" s="7"/>
      <c r="F1048548" s="7"/>
      <c r="G1048548" s="19"/>
    </row>
    <row r="1048549" spans="2:7">
      <c r="B1048549" s="7"/>
      <c r="C1048549" s="7"/>
      <c r="D1048549" s="7"/>
      <c r="E1048549" s="7"/>
      <c r="F1048549" s="7"/>
      <c r="G1048549" s="19"/>
    </row>
  </sheetData>
  <autoFilter ref="A2:BA2" xr:uid="{5F2D95E1-BD9D-4692-90A3-168071911D37}"/>
  <phoneticPr fontId="1" type="noConversion"/>
  <dataValidations count="2">
    <dataValidation type="list" allowBlank="1" showInputMessage="1" showErrorMessage="1" sqref="F19:F1048576" xr:uid="{E647F6FD-343C-4CF3-8743-C7BA90D37B7B}">
      <formula1>"* Manager/Lead, PMO, Tech Lead, System engineering, Service engineering, Mechanical engineering, Software engineering, SW test engineering, Electrical engineering"</formula1>
    </dataValidation>
    <dataValidation type="list" allowBlank="1" showInputMessage="1" showErrorMessage="1" sqref="E19:E1048576" xr:uid="{0EA33ACA-3B60-41F8-9629-1F75D546D7F6}">
      <formula1>"Engineering, PMO, System engineering, Control Engineering"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902AB8-651D-4F6F-A430-F6B4F9EBB813}">
          <x14:formula1>
            <xm:f>'Project IO'!$B$4:$B$101</xm:f>
          </x14:formula1>
          <xm:sqref>A1</xm:sqref>
        </x14:dataValidation>
        <x14:dataValidation type="list" allowBlank="1" showInputMessage="1" showErrorMessage="1" xr:uid="{3C954EA8-CDF9-4FF7-803E-4205B35CF5AF}">
          <x14:formula1>
            <xm:f>정원!$D:$D</xm:f>
          </x14:formula1>
          <xm:sqref>H3:H17 H19:H1048576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5D90-0350-4380-9D06-E5FB9BC08F20}">
  <sheetPr>
    <tabColor theme="1"/>
  </sheetPr>
  <dimension ref="A1:AZ4"/>
  <sheetViews>
    <sheetView workbookViewId="0">
      <selection activeCell="P26" sqref="P26"/>
    </sheetView>
  </sheetViews>
  <sheetFormatPr defaultRowHeight="16.5"/>
  <cols>
    <col min="1" max="1" width="13.125" bestFit="1" customWidth="1"/>
    <col min="2" max="3" width="14.625" customWidth="1"/>
    <col min="4" max="4" width="12.125" customWidth="1"/>
  </cols>
  <sheetData>
    <row r="1" spans="1:52" ht="27" customHeight="1">
      <c r="A1" s="2" t="s">
        <v>316</v>
      </c>
      <c r="B1" s="2" t="s">
        <v>317</v>
      </c>
      <c r="C1" s="2"/>
      <c r="D1" t="s">
        <v>54</v>
      </c>
      <c r="E1" s="1" t="s">
        <v>44</v>
      </c>
      <c r="F1" s="3">
        <v>0</v>
      </c>
      <c r="G1" s="1" t="s">
        <v>45</v>
      </c>
      <c r="H1" s="4">
        <v>45840</v>
      </c>
    </row>
    <row r="2" spans="1:52" ht="17.25" thickBot="1">
      <c r="A2" s="7" t="s">
        <v>56</v>
      </c>
      <c r="B2" s="8" t="s">
        <v>57</v>
      </c>
      <c r="C2" s="8" t="s">
        <v>59</v>
      </c>
      <c r="D2" s="8" t="s">
        <v>86</v>
      </c>
      <c r="E2" s="9" t="s">
        <v>60</v>
      </c>
      <c r="F2" s="9" t="s">
        <v>62</v>
      </c>
      <c r="G2" s="10" t="s">
        <v>61</v>
      </c>
      <c r="H2" s="11" t="s">
        <v>64</v>
      </c>
      <c r="I2" s="11" t="s">
        <v>65</v>
      </c>
      <c r="J2" s="12">
        <v>45833</v>
      </c>
      <c r="K2" s="12">
        <v>45863</v>
      </c>
      <c r="L2" s="12">
        <v>45894</v>
      </c>
      <c r="M2" s="12">
        <v>45925</v>
      </c>
      <c r="N2" s="12">
        <v>45955</v>
      </c>
      <c r="O2" s="12">
        <v>45986</v>
      </c>
      <c r="P2" s="12">
        <v>46016</v>
      </c>
      <c r="Q2" s="12">
        <v>45683</v>
      </c>
      <c r="R2" s="12">
        <v>45714</v>
      </c>
      <c r="S2" s="12">
        <v>45742</v>
      </c>
      <c r="T2" s="12">
        <v>45773</v>
      </c>
      <c r="U2" s="12">
        <v>45803</v>
      </c>
      <c r="V2" s="12">
        <v>45834</v>
      </c>
      <c r="W2" s="12">
        <v>45864</v>
      </c>
      <c r="X2" s="12">
        <v>45895</v>
      </c>
      <c r="Y2" s="12">
        <v>45926</v>
      </c>
      <c r="Z2" s="12">
        <v>45956</v>
      </c>
      <c r="AA2" s="12">
        <v>45987</v>
      </c>
      <c r="AB2" s="12">
        <v>46017</v>
      </c>
      <c r="AC2" s="12">
        <v>45684</v>
      </c>
      <c r="AD2" s="12">
        <v>45715</v>
      </c>
      <c r="AE2" s="12">
        <v>45743</v>
      </c>
      <c r="AF2" s="12">
        <v>45774</v>
      </c>
      <c r="AG2" s="12">
        <v>45804</v>
      </c>
      <c r="AH2" s="12">
        <v>45835</v>
      </c>
      <c r="AI2" s="12">
        <v>45865</v>
      </c>
      <c r="AJ2" s="12">
        <v>45896</v>
      </c>
      <c r="AK2" s="12">
        <v>45927</v>
      </c>
      <c r="AL2" s="12">
        <v>45957</v>
      </c>
      <c r="AM2" s="12">
        <v>45988</v>
      </c>
      <c r="AN2" s="12">
        <v>46018</v>
      </c>
      <c r="AO2" s="12">
        <v>45685</v>
      </c>
      <c r="AP2" s="12">
        <v>45716</v>
      </c>
      <c r="AQ2" s="12">
        <v>45744</v>
      </c>
      <c r="AR2" s="12">
        <v>45775</v>
      </c>
      <c r="AS2" s="12">
        <v>45805</v>
      </c>
      <c r="AT2" s="12">
        <v>45836</v>
      </c>
      <c r="AU2" s="12">
        <v>45866</v>
      </c>
      <c r="AV2" s="12">
        <v>45897</v>
      </c>
      <c r="AW2" s="12">
        <v>45928</v>
      </c>
      <c r="AX2" s="12">
        <v>45958</v>
      </c>
      <c r="AY2" s="12">
        <v>45989</v>
      </c>
      <c r="AZ2" s="13">
        <v>46019</v>
      </c>
    </row>
    <row r="3" spans="1:52" ht="17.25" thickTop="1"/>
    <row r="4" spans="1:52">
      <c r="B4" s="1"/>
      <c r="C4" s="1"/>
      <c r="D4" s="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db9e75-98fe-4615-afaa-bd7bbc9edb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E6A2C789E50418796E290E1B3B0F1" ma:contentTypeVersion="10" ma:contentTypeDescription="Create a new document." ma:contentTypeScope="" ma:versionID="f8b1724d634b75972c721115a0f8bdbe">
  <xsd:schema xmlns:xsd="http://www.w3.org/2001/XMLSchema" xmlns:xs="http://www.w3.org/2001/XMLSchema" xmlns:p="http://schemas.microsoft.com/office/2006/metadata/properties" xmlns:ns2="48db9e75-98fe-4615-afaa-bd7bbc9edb15" targetNamespace="http://schemas.microsoft.com/office/2006/metadata/properties" ma:root="true" ma:fieldsID="eea06bdaa3f3a3f56ea0e50e138ba5d1" ns2:_="">
    <xsd:import namespace="48db9e75-98fe-4615-afaa-bd7bbc9ed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b9e75-98fe-4615-afaa-bd7bbc9edb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12B21-8B7C-49DE-885E-4ABE43519737}"/>
</file>

<file path=customXml/itemProps2.xml><?xml version="1.0" encoding="utf-8"?>
<ds:datastoreItem xmlns:ds="http://schemas.openxmlformats.org/officeDocument/2006/customXml" ds:itemID="{20A7D120-195A-4954-A5EF-E2ABED5D2136}"/>
</file>

<file path=customXml/itemProps3.xml><?xml version="1.0" encoding="utf-8"?>
<ds:datastoreItem xmlns:ds="http://schemas.openxmlformats.org/officeDocument/2006/customXml" ds:itemID="{B3D37F6B-A657-4BB4-A48D-19CE4EA20650}"/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GyeongMo Seo</dc:creator>
  <cp:keywords/>
  <dc:description/>
  <cp:lastModifiedBy/>
  <cp:revision/>
  <dcterms:created xsi:type="dcterms:W3CDTF">2025-07-02T13:28:38Z</dcterms:created>
  <dcterms:modified xsi:type="dcterms:W3CDTF">2025-12-25T03:02:36Z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0x01010098DE6A2C789E50418796E290E1B3B0F1</vt:lpwstr>
  </property>
  <property fmtid="{D5CDD505-2E9C-101B-9397-08002B2CF9AE}" pid="3" name="MediaServiceImageTags">
    <vt:lpwstr/>
  </property>
</Properties>
</file>